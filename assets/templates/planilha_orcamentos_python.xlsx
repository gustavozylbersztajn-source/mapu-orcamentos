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/Dropbox/Family Room/4.MAPU/4.ORCAMENTOS/2027/template/"/>
    </mc:Choice>
  </mc:AlternateContent>
  <xr:revisionPtr revIDLastSave="0" documentId="13_ncr:1_{E3F58E3F-21AF-7C44-A394-F24DB7812F84}" xr6:coauthVersionLast="47" xr6:coauthVersionMax="47" xr10:uidLastSave="{00000000-0000-0000-0000-000000000000}"/>
  <bookViews>
    <workbookView xWindow="420" yWindow="1520" windowWidth="44080" windowHeight="21380" activeTab="2" xr2:uid="{00000000-000D-0000-FFFF-FFFF00000000}"/>
  </bookViews>
  <sheets>
    <sheet name="CALENDAR" sheetId="1" r:id="rId1"/>
    <sheet name="BASE PAX" sheetId="2" r:id="rId2"/>
    <sheet name="BUDGET RESUMO" sheetId="3" r:id="rId3"/>
    <sheet name="RESULTADO" sheetId="4" r:id="rId4"/>
    <sheet name="BUDGET COIGUE 1" sheetId="5" r:id="rId5"/>
    <sheet name="BUDGET COIGUE 2" sheetId="6" r:id="rId6"/>
    <sheet name="BUDGET COIGUE 2+1" sheetId="7" r:id="rId7"/>
    <sheet name="BUDGET NIRE 1" sheetId="8" r:id="rId8"/>
    <sheet name="BUDGET NIRE 2" sheetId="9" r:id="rId9"/>
    <sheet name="BUDGET NIRE 2+1" sheetId="10" r:id="rId10"/>
    <sheet name="BUDGET NIRE 2+2" sheetId="27" r:id="rId31"/>
    <sheet name="BUDGET CHAITEN 1" sheetId="11" r:id="rId11"/>
    <sheet name="BUDGET CHAITEN 2" sheetId="12" r:id="rId12"/>
    <sheet name="BUDGET CHAITEN 2+1" sheetId="13" r:id="rId13"/>
    <sheet name="BUDGET CHAITEN 2+2" sheetId="14" r:id="rId14"/>
    <sheet name="BUDGET CHAITEN 3" sheetId="15" r:id="rId15"/>
    <sheet name="BUDGET CORCOVADO 1" sheetId="16" r:id="rId16"/>
    <sheet name="BUDGET CORCOVADO 2" sheetId="17" r:id="rId17"/>
    <sheet name="BUDGET CORCOVADO 2+1" sheetId="18" r:id="rId18"/>
    <sheet name="BUDGET CORCOVADO 2+2" sheetId="19" r:id="rId19"/>
    <sheet name="BUDGET CORCOVADO 2+3" sheetId="20" r:id="rId20"/>
    <sheet name="BUDGET CORCOVADO 3" sheetId="21" r:id="rId21"/>
    <sheet name="BUDGET CORCOVADO 3+1" sheetId="22" r:id="rId22"/>
    <sheet name="BUDGET CORCOVADO 3+2" sheetId="23" r:id="rId23"/>
    <sheet name="BUDGET CORCOVADO 4" sheetId="24" r:id="rId24"/>
    <sheet name="BUDGET CORCOVADO 4+1" sheetId="25" r:id="rId25"/>
    <sheet name="BUDGET CORCOVADO 5" sheetId="26" r:id="rId26"/>
  </sheets>
  <externalReferences>
    <externalReference r:id="rId27"/>
  </externalReferences>
  <definedNames>
    <definedName name="_xlnm.Print_Titles" localSheetId="0">CALENDAR!$4:$4</definedName>
    <definedName name="Requirement" localSheetId="1">#REF!</definedName>
    <definedName name="Requirement" localSheetId="10">#REF!</definedName>
    <definedName name="Requirement" localSheetId="11">#REF!</definedName>
    <definedName name="Requirement" localSheetId="12">#REF!</definedName>
    <definedName name="Requirement" localSheetId="4">#REF!</definedName>
    <definedName name="Requirement" localSheetId="5">#REF!</definedName>
    <definedName name="Requirement" localSheetId="15">#REF!</definedName>
    <definedName name="Requirement" localSheetId="16">#REF!</definedName>
    <definedName name="Requirement" localSheetId="17">#REF!</definedName>
    <definedName name="Requirement" localSheetId="18">#REF!</definedName>
    <definedName name="Requirement" localSheetId="19">#REF!</definedName>
    <definedName name="Requirement" localSheetId="20">#REF!</definedName>
    <definedName name="Requirement" localSheetId="21">#REF!</definedName>
    <definedName name="Requirement" localSheetId="22">#REF!</definedName>
    <definedName name="Requirement" localSheetId="23">#REF!</definedName>
    <definedName name="Requirement" localSheetId="7">#REF!</definedName>
    <definedName name="Requirement" localSheetId="8">#REF!</definedName>
    <definedName name="Requirement" localSheetId="2">#REF!</definedName>
    <definedName name="Requirement" localSheetId="3">#REF!</definedName>
    <definedName name="Requirement">#REF!</definedName>
    <definedName name="StartTime" localSheetId="1">#REF!</definedName>
    <definedName name="StartTime" localSheetId="0">CALENDAR!#REF!</definedName>
    <definedName name="StartTime" localSheetId="3">#REF!</definedName>
    <definedName name="StartTime">#REF!</definedName>
    <definedName name="TimeInterval" localSheetId="1">#REF!</definedName>
    <definedName name="TimeInterval" localSheetId="0">CALENDAR!#REF!</definedName>
    <definedName name="TimeInterval" localSheetId="3">#REF!</definedName>
    <definedName name="TimeInterva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<sst xmlns="http://schemas.openxmlformats.org/spreadsheetml/2006/main" count="2341" uniqueCount="197">
  <si>
    <t>CHECK OUT</t>
  </si>
  <si>
    <t>PAX</t>
  </si>
  <si>
    <t>2+1</t>
  </si>
  <si>
    <t>3</t>
  </si>
  <si>
    <t>2+2</t>
  </si>
  <si>
    <t>2+3</t>
  </si>
  <si>
    <t>3+1</t>
  </si>
  <si>
    <t>3+2</t>
  </si>
  <si>
    <t>4+1</t>
  </si>
  <si>
    <t>SIM = 1 NÃO = 0</t>
  </si>
  <si>
    <t>CABIN</t>
  </si>
  <si>
    <t>COIGUE</t>
  </si>
  <si>
    <t>NIRE</t>
  </si>
  <si>
    <t>CHAITEN</t>
  </si>
  <si>
    <t>CORCOVADO</t>
  </si>
  <si>
    <t>1.LODGING</t>
  </si>
  <si>
    <t>2.FOOD</t>
  </si>
  <si>
    <t>3.DRINKS</t>
  </si>
  <si>
    <t>4. ACTIVITIES</t>
  </si>
  <si>
    <t>5.TRANSPORT</t>
  </si>
  <si>
    <t>6.EXPERIENCES</t>
  </si>
  <si>
    <t>7.EXTRAS</t>
  </si>
  <si>
    <t>8. QUINCHO</t>
  </si>
  <si>
    <t>SUBTOTAL SEM AGÊNCIA [CC]</t>
  </si>
  <si>
    <t>desconto 5%</t>
  </si>
  <si>
    <t>SUBTOTAL  [no cash]</t>
  </si>
  <si>
    <t>taxa agência</t>
  </si>
  <si>
    <t>taxa SUMUP</t>
  </si>
  <si>
    <t>SUBTOTAL COM TAXA DE AG [pago em cash]</t>
  </si>
  <si>
    <t>SUBTOTAL COM TAXA DE AG [pago CC]</t>
  </si>
  <si>
    <t>GANHO COMISSÃO AGÊNCIA</t>
  </si>
  <si>
    <t>VALOR POR PESSOA PAGO [CC]</t>
  </si>
  <si>
    <t xml:space="preserve">VALOR POR PESSOA COM AGÊNCIA PAGO [CC] </t>
  </si>
  <si>
    <t>GANHO COMISSÃO AGÊNCIA (por pessoa)</t>
  </si>
  <si>
    <t>VALORES SEM IVA 19%</t>
  </si>
  <si>
    <t>SUBTOTAL COMISSÕES GANHO</t>
  </si>
  <si>
    <t>CHECK IN</t>
  </si>
  <si>
    <t>NIGHTS</t>
  </si>
  <si>
    <t>NOME CLIENTE | PROGRAMA</t>
  </si>
  <si>
    <t>TIME</t>
  </si>
  <si>
    <t>Sat</t>
  </si>
  <si>
    <t>Sun</t>
  </si>
  <si>
    <t>Mon</t>
  </si>
  <si>
    <t>Tue</t>
  </si>
  <si>
    <t>Wed</t>
  </si>
  <si>
    <t>MORNING</t>
  </si>
  <si>
    <t>LUNCH TIME</t>
  </si>
  <si>
    <t>AFTERNOON</t>
  </si>
  <si>
    <t>DINNER TIME</t>
  </si>
  <si>
    <t>NIGHT</t>
  </si>
  <si>
    <t>PER PAX</t>
  </si>
  <si>
    <t>2. FOOD</t>
  </si>
  <si>
    <t>QUANT.</t>
  </si>
  <si>
    <t>$ CUSTO</t>
  </si>
  <si>
    <t>$ VENDA</t>
  </si>
  <si>
    <t>SUBTOTAL</t>
  </si>
  <si>
    <t>BREAKFAST</t>
  </si>
  <si>
    <t>PADRAO BREAKFAST</t>
  </si>
  <si>
    <t>LUNCH 1</t>
  </si>
  <si>
    <t>ADULTO</t>
  </si>
  <si>
    <t>KIDS</t>
  </si>
  <si>
    <t>LUNCH 2</t>
  </si>
  <si>
    <t>LUNCH 3</t>
  </si>
  <si>
    <t>LUNCH 4</t>
  </si>
  <si>
    <t>LUNCH 6</t>
  </si>
  <si>
    <t>LUNCH 7</t>
  </si>
  <si>
    <t>SNACKS</t>
  </si>
  <si>
    <t>DINNER 6</t>
  </si>
  <si>
    <t>QUANT. TOTAL | PADRAO ALMOÇO</t>
  </si>
  <si>
    <t>PADRAO ALMOÇO</t>
  </si>
  <si>
    <t>QUANT. TOTAL | PADRAO JANTAR</t>
  </si>
  <si>
    <t>PADRAO JANTAR</t>
  </si>
  <si>
    <t>SUBTOTAL FOOD</t>
  </si>
  <si>
    <t>3. DRINKS / per cabin</t>
  </si>
  <si>
    <t>SUCOS</t>
  </si>
  <si>
    <t>CERVEJAS</t>
  </si>
  <si>
    <t>VINHOS</t>
  </si>
  <si>
    <t>DRINKS</t>
  </si>
  <si>
    <t>COOLER</t>
  </si>
  <si>
    <t>SUBTOTAL DRINKS</t>
  </si>
  <si>
    <t>4. ACTIVITIES / per pax</t>
  </si>
  <si>
    <t>HOTTUBE</t>
  </si>
  <si>
    <t>FLOTADA FAMILIAR</t>
  </si>
  <si>
    <t>RECREACAO INFANTIL 3HS</t>
  </si>
  <si>
    <t>SUBTOTAL ACTIVITIES</t>
  </si>
  <si>
    <t>5. TRANSPORT / per pax</t>
  </si>
  <si>
    <t>TRANSFER AEROPORTO CHEGADA</t>
  </si>
  <si>
    <t>TRANSFER AEROPORTO PARTIDA</t>
  </si>
  <si>
    <t>TRANSFERS INTERNO</t>
  </si>
  <si>
    <t>SUBTOTAL TRANSPORT</t>
  </si>
  <si>
    <t>6. EXPERIENCES / per pax</t>
  </si>
  <si>
    <t>7. EXTRAS / per cabin</t>
  </si>
  <si>
    <t>USOS</t>
  </si>
  <si>
    <t>$ CUSTO/ DIA</t>
  </si>
  <si>
    <t>$ VENDA / total dias</t>
  </si>
  <si>
    <t>COORDENAÇÃO PRODUÇÃO</t>
  </si>
  <si>
    <t>EXTRA MÃO DE OBRA</t>
  </si>
  <si>
    <t>TAXA LIMPEZA CHECK IN / CHECKOUT</t>
  </si>
  <si>
    <t>TAXA LIMPEZA DIARIA</t>
  </si>
  <si>
    <t>SOUVENIR</t>
  </si>
  <si>
    <t>ASSISTENTE COORDENAÇÃO</t>
  </si>
  <si>
    <t>SUBTOTAL EXTRAS</t>
  </si>
  <si>
    <t>8. QUINCHO / per cabin</t>
  </si>
  <si>
    <t xml:space="preserve">QUINCHO DAY USE / CABIN </t>
  </si>
  <si>
    <t>SUBTOTAL QUINCHO</t>
  </si>
  <si>
    <t xml:space="preserve">CLIENT  </t>
  </si>
  <si>
    <t xml:space="preserve">CHECK IN   </t>
  </si>
  <si>
    <t xml:space="preserve">CHECK OUT  </t>
  </si>
  <si>
    <t>TOTAL PESSOAS GRUPO</t>
  </si>
  <si>
    <t xml:space="preserve">TOTAL NIGHTS  </t>
  </si>
  <si>
    <t>LUCRO POR NOITE</t>
  </si>
  <si>
    <t>TOTAL COMISSÕES + CABINS</t>
  </si>
  <si>
    <t>SUBTOTAIS</t>
  </si>
  <si>
    <t>TOTAL COMISSÕES</t>
  </si>
  <si>
    <t>1. LODGING</t>
  </si>
  <si>
    <t>3. DRINKS</t>
  </si>
  <si>
    <t>5. TRANSPORT</t>
  </si>
  <si>
    <t>6. EXPERIENCES</t>
  </si>
  <si>
    <t>7. EXTRAS</t>
  </si>
  <si>
    <t>TOTAL SEM AG [cash]</t>
  </si>
  <si>
    <t>TOTAL SEM AG [CC]</t>
  </si>
  <si>
    <t>TOTAL SEM CC [cash]</t>
  </si>
  <si>
    <t>TOTAL COM AGÊNCIA [CC]</t>
  </si>
  <si>
    <t>TOTAL COM AGÊNCIA (CC)</t>
  </si>
  <si>
    <t>CONTROLE PAGAMENTO COMISSÕES</t>
  </si>
  <si>
    <t>PARCELA</t>
  </si>
  <si>
    <t>DATA</t>
  </si>
  <si>
    <t>VALOR</t>
  </si>
  <si>
    <t>SALDO A PAGAR</t>
  </si>
  <si>
    <t>TOTAL PAX ADULT</t>
  </si>
  <si>
    <t>TOTAL PAX INFANT</t>
  </si>
  <si>
    <t xml:space="preserve">BUDGET TOTAL </t>
  </si>
  <si>
    <t>CHECK IN.</t>
  </si>
  <si>
    <t>SUBTOTAL PAGO</t>
  </si>
  <si>
    <t>CHECK OUT.</t>
  </si>
  <si>
    <t>SUBTOTAL A RECEBER</t>
  </si>
  <si>
    <t>TOTAL NIGHTS.</t>
  </si>
  <si>
    <t xml:space="preserve">TIP | </t>
  </si>
  <si>
    <t>RESUMO.</t>
  </si>
  <si>
    <t>PREÇO CLIENTE CASH CLP $</t>
  </si>
  <si>
    <t>TAXA CC</t>
  </si>
  <si>
    <t>PREÇO CLIENTE PAGTO CC $</t>
  </si>
  <si>
    <t>CONTROLE PAGAMENTOS</t>
  </si>
  <si>
    <t>VALOR PAGO CLP $</t>
  </si>
  <si>
    <t>FORMA PAGTO</t>
  </si>
  <si>
    <t>SUBTOTAL COMISSÕES</t>
  </si>
  <si>
    <t xml:space="preserve">SUBTOTAL 1 </t>
  </si>
  <si>
    <t>$ CABIN / DIA</t>
  </si>
  <si>
    <t>$ ADICIONAL / DIA</t>
  </si>
  <si>
    <t>BASE CÁLCULO</t>
  </si>
  <si>
    <t>DESCONTOS</t>
  </si>
  <si>
    <t xml:space="preserve">$ SUBTOTAL </t>
  </si>
  <si>
    <t>COIGUE (até 2 pax) - até 06 noites</t>
  </si>
  <si>
    <t>COIGUE ( 2 + baby) - até 06 noites</t>
  </si>
  <si>
    <t>COIGUE (até 2 pax) - 7 noites ou +</t>
  </si>
  <si>
    <t>COIGUE ( 2 + baby) - 7 noites ou +</t>
  </si>
  <si>
    <t>SUBTOTAL LODGING</t>
  </si>
  <si>
    <t>SUBTOTAL $ VENDA</t>
  </si>
  <si>
    <t>SUBTOTAL $ CUSTO</t>
  </si>
  <si>
    <t>COMISSÕES</t>
  </si>
  <si>
    <t>TOTAL FOOD</t>
  </si>
  <si>
    <t>3. DRINKS (por cabin)</t>
  </si>
  <si>
    <t>SUBTOTAL CUSTO</t>
  </si>
  <si>
    <t>SUBTOTAL EXPERIENCES</t>
  </si>
  <si>
    <t>7. EXTRAS ( por cabin )</t>
  </si>
  <si>
    <t>8. QUINCHO (por cabin)</t>
  </si>
  <si>
    <t>NIRE (até 2 pax) - até 06 noites</t>
  </si>
  <si>
    <t>NIRE ( 2 + baby) - até 06 noites</t>
  </si>
  <si>
    <t>NIRE (até 2 pax) - 7 noites ou +</t>
  </si>
  <si>
    <t>NIRE ( 2 + baby) - 7 noites ou +</t>
  </si>
  <si>
    <t>CHAITEN (até 2 pax) - até 06 noites</t>
  </si>
  <si>
    <t>CHAITEN ( 2 + baby) - até 06 noites</t>
  </si>
  <si>
    <t>CHAITEN (até 2 pax) - 7 noites ou +</t>
  </si>
  <si>
    <t>CHAITEN ( 2 + baby) - 7 noites ou +</t>
  </si>
  <si>
    <t>CORCOVADO (até 4 pax) - até 06 noites</t>
  </si>
  <si>
    <t>CORCOVADO ( até 4 + baby) - até 06 noites</t>
  </si>
  <si>
    <t>CORCOVADO (até 4 pax) - 7 noites ou +</t>
  </si>
  <si>
    <t>CORCOVADO ( até 4 + baby) - 7 noites ou +</t>
  </si>
  <si>
    <t>WS INSTRUCTOR</t>
  </si>
  <si>
    <t>PRODUCER FEE</t>
  </si>
  <si>
    <t>EXTRAS 2</t>
  </si>
  <si>
    <t>EXTRAS 1</t>
  </si>
  <si>
    <t>TREKKING 1/2 DAY</t>
  </si>
  <si>
    <t>TREKKING FUK DAY</t>
  </si>
  <si>
    <t>RAFTING 1/2 DAY</t>
  </si>
  <si>
    <t>RAFTING FULL DAY</t>
  </si>
  <si>
    <t>CABALGADA 1/2 DAy</t>
  </si>
  <si>
    <t>CABALGADA FULL DAY</t>
  </si>
  <si>
    <t>LANCHA YELCHO</t>
  </si>
  <si>
    <t>LUNCH 5</t>
  </si>
  <si>
    <t>DINNER 1</t>
  </si>
  <si>
    <t>DINNER 2</t>
  </si>
  <si>
    <t>DINNER 3</t>
  </si>
  <si>
    <t>DINNER 4</t>
  </si>
  <si>
    <t>DINNER 5</t>
  </si>
  <si>
    <t>DINNER 7</t>
  </si>
  <si>
    <t>TOTAL COM AGÊNCIA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</si>
</sst>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164" formatCode="_(* #,##0_);_(* \(#,##0\);_(* &quot;-&quot;_);_(@_)"/>
    <numFmt numFmtId="165" formatCode="_(* #,##0.00_);_(* \(#,##0.00\);_(* &quot;-&quot;??_);_(@_)"/>
    <numFmt numFmtId="166" formatCode="[$USD]\ #,##0.00"/>
    <numFmt numFmtId="167" formatCode="&quot;$&quot;#,##0.00"/>
    <numFmt numFmtId="168" formatCode="#,##0.0_ ;\-#,##0.0\ "/>
    <numFmt numFmtId="169" formatCode="_-* #,##0.0_-;\-* #,##0.0_-;_-* &quot;-&quot;?_-;_-@_-"/>
    <numFmt numFmtId="170" formatCode="[$CLP]\ #,##0.00"/>
    <numFmt numFmtId="171" formatCode="[$CLP]\ #,##0.0;\-[$CLP]\ #,##0.0"/>
    <numFmt numFmtId="172" formatCode="[$CLP]\ #,##0;\-[$CLP]\ #,##0"/>
    <numFmt numFmtId="173" formatCode="_-[$CLP]\ * #,##0_-;\-[$CLP]\ * #,##0_-;_-[$CLP]\ * &quot;-&quot;_-;_-@_-"/>
    <numFmt numFmtId="174" formatCode="[$CLP]\ #,##0.00;\-[$CLP]\ #,##0.00"/>
    <numFmt numFmtId="175" formatCode="[$-409]h:mm\ AM/PM;@"/>
    <numFmt numFmtId="176" formatCode="DD/MM/YYYY"/>
  </numFmts>
  <fonts count="39">
    <font>
      <sz val="9"/>
      <color theme="0" tint="-0.34998626667073579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4" tint="-0.499984740745262"/>
      <name val="Arial"/>
      <family val="2"/>
      <scheme val="major"/>
    </font>
    <font>
      <sz val="10"/>
      <color theme="4"/>
      <name val="Arial"/>
      <family val="2"/>
      <scheme val="major"/>
    </font>
    <font>
      <sz val="11"/>
      <color theme="1"/>
      <name val="Arial"/>
      <family val="2"/>
      <scheme val="minor"/>
    </font>
    <font>
      <sz val="12"/>
      <color theme="1"/>
      <name val="Avenir Book"/>
      <family val="2"/>
    </font>
    <font>
      <b/>
      <sz val="10"/>
      <color theme="1"/>
      <name val="Avenir Book"/>
      <family val="2"/>
    </font>
    <font>
      <b/>
      <sz val="20"/>
      <color theme="1"/>
      <name val="Avenir Book"/>
      <family val="2"/>
    </font>
    <font>
      <b/>
      <sz val="12"/>
      <color theme="1"/>
      <name val="Avenir Book"/>
      <family val="2"/>
    </font>
    <font>
      <sz val="10"/>
      <color theme="1"/>
      <name val="Avenir Book"/>
      <family val="2"/>
    </font>
    <font>
      <u/>
      <sz val="12"/>
      <color theme="10"/>
      <name val="Arial"/>
      <family val="2"/>
      <scheme val="minor"/>
    </font>
    <font>
      <sz val="8"/>
      <color theme="1"/>
      <name val="Avenir Book"/>
      <family val="2"/>
    </font>
    <font>
      <b/>
      <sz val="8"/>
      <color theme="1"/>
      <name val="Avenir Book"/>
      <family val="2"/>
    </font>
    <font>
      <b/>
      <i/>
      <sz val="12"/>
      <color theme="1"/>
      <name val="Avenir Book"/>
      <family val="2"/>
    </font>
    <font>
      <b/>
      <i/>
      <sz val="10"/>
      <color theme="1"/>
      <name val="Avenir Book"/>
      <family val="2"/>
    </font>
    <font>
      <b/>
      <sz val="48"/>
      <color theme="1"/>
      <name val="Avenir Book"/>
      <family val="2"/>
    </font>
    <font>
      <b/>
      <sz val="16"/>
      <color theme="1"/>
      <name val="Avenir Book"/>
      <family val="2"/>
    </font>
    <font>
      <b/>
      <sz val="9"/>
      <color theme="1"/>
      <name val="Avenir Book"/>
      <family val="2"/>
    </font>
    <font>
      <b/>
      <sz val="8"/>
      <color rgb="FF000000"/>
      <name val="Avenir Book"/>
      <family val="2"/>
    </font>
    <font>
      <sz val="10"/>
      <color theme="1"/>
      <name val="Arial"/>
      <family val="2"/>
      <scheme val="minor"/>
    </font>
    <font>
      <b/>
      <sz val="14"/>
      <color theme="1"/>
      <name val="Avenir Book"/>
      <family val="2"/>
    </font>
    <font>
      <sz val="14"/>
      <color theme="1"/>
      <name val="Avenir Book"/>
      <family val="2"/>
    </font>
    <font>
      <b/>
      <sz val="8"/>
      <color rgb="FFFF0000"/>
      <name val="Avenir Book"/>
      <family val="2"/>
    </font>
    <font>
      <sz val="12"/>
      <color rgb="FF000000"/>
      <name val="Avenir Book"/>
      <family val="2"/>
    </font>
    <font>
      <b/>
      <sz val="12"/>
      <color indexed="8"/>
      <name val="Avenir Book"/>
      <family val="2"/>
    </font>
    <font>
      <b/>
      <sz val="20"/>
      <color indexed="8"/>
      <name val="Avenir Book"/>
      <family val="2"/>
    </font>
    <font>
      <b/>
      <sz val="11"/>
      <color theme="1"/>
      <name val="Avenir Book"/>
      <family val="2"/>
    </font>
    <font>
      <b/>
      <sz val="15"/>
      <color theme="1"/>
      <name val="Avenir Book"/>
      <family val="2"/>
    </font>
    <font>
      <b/>
      <sz val="13"/>
      <color theme="1"/>
      <name val="Avenir Book"/>
      <family val="2"/>
    </font>
    <font>
      <sz val="1"/>
      <color theme="1"/>
      <name val="Avenir Book"/>
      <family val="2"/>
    </font>
    <font>
      <b/>
      <sz val="1"/>
      <color theme="1"/>
      <name val="Avenir Book"/>
      <family val="2"/>
    </font>
    <font>
      <b/>
      <i/>
      <sz val="1"/>
      <color theme="1"/>
      <name val="Avenir Book"/>
      <family val="2"/>
    </font>
    <font>
      <b/>
      <sz val="12"/>
      <color theme="0"/>
      <name val="Avenir Book"/>
      <family val="2"/>
    </font>
    <font>
      <sz val="20"/>
      <color theme="1"/>
      <name val="Avenir Book"/>
      <family val="2"/>
    </font>
    <font>
      <b/>
      <sz val="9"/>
      <color rgb="FF000000"/>
      <name val="Avenir Book"/>
      <family val="2"/>
    </font>
    <font>
      <sz val="11"/>
      <color theme="1"/>
      <name val="Avenir Book"/>
      <family val="2"/>
    </font>
    <font>
      <b/>
      <sz val="10"/>
      <color indexed="8"/>
      <name val="Avenir Book"/>
      <family val="2"/>
    </font>
    <font>
      <b/>
      <sz val="9"/>
      <color indexed="8"/>
      <name val="Avenir Book"/>
      <family val="2"/>
    </font>
    <font>
      <i/>
      <sz val="9"/>
      <color theme="0" tint="-0.34998626667073579"/>
      <name val="Arial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 tint="0.14987640003662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CE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6D9DE"/>
        <bgColor indexed="64"/>
      </patternFill>
    </fill>
    <fill>
      <patternFill patternType="solid">
        <fgColor rgb="FFF1EEF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14999847407452621"/>
        <bgColor rgb="FF000000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3" borderId="0">
      <alignment horizontal="left" vertical="center"/>
    </xf>
    <xf numFmtId="0" fontId="2" fillId="2" borderId="0"/>
    <xf numFmtId="0" fontId="3" fillId="0" borderId="0"/>
    <xf numFmtId="0" fontId="4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</cellStyleXfs>
  <cellXfs count="742">
    <xf numFmtId="0" fontId="0" fillId="3" borderId="0" xfId="0">
      <alignment horizontal="left" vertical="center"/>
    </xf>
    <xf numFmtId="166" fontId="8" fillId="18" borderId="0" xfId="4" applyNumberFormat="1" applyFont="1" applyFill="1" applyAlignment="1" applyProtection="1">
      <alignment horizontal="center" vertical="center" wrapText="1"/>
      <protection locked="0"/>
    </xf>
    <xf numFmtId="9" fontId="5" fillId="8" borderId="17" xfId="4" applyNumberFormat="1" applyFont="1" applyFill="1" applyBorder="1" applyAlignment="1" applyProtection="1">
      <alignment horizontal="center" vertical="center"/>
      <protection locked="0"/>
    </xf>
    <xf numFmtId="14" fontId="5" fillId="16" borderId="0" xfId="4" applyNumberFormat="1" applyFont="1" applyFill="1" applyAlignment="1" applyProtection="1">
      <alignment horizontal="center" vertical="center"/>
      <protection locked="0"/>
    </xf>
    <xf numFmtId="166" fontId="5" fillId="16" borderId="0" xfId="4" applyNumberFormat="1" applyFont="1" applyFill="1" applyAlignment="1" applyProtection="1">
      <alignment horizontal="center" vertical="center"/>
      <protection locked="0"/>
    </xf>
    <xf numFmtId="49" fontId="5" fillId="16" borderId="0" xfId="4" applyNumberFormat="1" applyFont="1" applyFill="1" applyAlignment="1" applyProtection="1">
      <alignment horizontal="center" vertical="center"/>
      <protection locked="0"/>
    </xf>
    <xf numFmtId="0" fontId="5" fillId="4" borderId="0" xfId="4" applyFont="1" applyFill="1" applyAlignment="1">
      <alignment horizontal="center"/>
    </xf>
    <xf numFmtId="0" fontId="5" fillId="4" borderId="0" xfId="4" applyFont="1" applyFill="1"/>
    <xf numFmtId="0" fontId="11" fillId="4" borderId="0" xfId="4" applyFont="1" applyFill="1"/>
    <xf numFmtId="0" fontId="9" fillId="4" borderId="0" xfId="4" applyFont="1" applyFill="1" applyAlignment="1">
      <alignment horizontal="center"/>
    </xf>
    <xf numFmtId="0" fontId="9" fillId="4" borderId="0" xfId="4" applyFont="1" applyFill="1"/>
    <xf numFmtId="166" fontId="5" fillId="4" borderId="0" xfId="4" applyNumberFormat="1" applyFont="1" applyFill="1" applyAlignment="1">
      <alignment horizontal="center" vertical="center"/>
    </xf>
    <xf numFmtId="166" fontId="5" fillId="4" borderId="0" xfId="4" applyNumberFormat="1" applyFont="1" applyFill="1"/>
    <xf numFmtId="0" fontId="6" fillId="4" borderId="0" xfId="4" applyFont="1" applyFill="1" applyAlignment="1">
      <alignment vertical="center"/>
    </xf>
    <xf numFmtId="0" fontId="7" fillId="4" borderId="0" xfId="4" applyFont="1" applyFill="1" applyAlignment="1">
      <alignment vertical="center"/>
    </xf>
    <xf numFmtId="0" fontId="15" fillId="4" borderId="0" xfId="4" applyFont="1" applyFill="1" applyAlignment="1">
      <alignment vertical="center"/>
    </xf>
    <xf numFmtId="0" fontId="8" fillId="4" borderId="0" xfId="4" applyFont="1" applyFill="1" applyAlignment="1">
      <alignment horizontal="right" vertical="center"/>
    </xf>
    <xf numFmtId="0" fontId="13" fillId="4" borderId="0" xfId="4" applyFont="1" applyFill="1" applyAlignment="1">
      <alignment horizontal="center"/>
    </xf>
    <xf numFmtId="0" fontId="8" fillId="8" borderId="3" xfId="4" applyFont="1" applyFill="1" applyBorder="1" applyAlignment="1">
      <alignment vertical="center"/>
    </xf>
    <xf numFmtId="0" fontId="13" fillId="4" borderId="0" xfId="4" applyFont="1" applyFill="1"/>
    <xf numFmtId="166" fontId="13" fillId="4" borderId="0" xfId="4" applyNumberFormat="1" applyFont="1" applyFill="1" applyAlignment="1">
      <alignment horizontal="center" vertical="center"/>
    </xf>
    <xf numFmtId="0" fontId="8" fillId="21" borderId="3" xfId="4" applyFont="1" applyFill="1" applyBorder="1" applyAlignment="1">
      <alignment vertical="center"/>
    </xf>
    <xf numFmtId="0" fontId="8" fillId="10" borderId="3" xfId="4" applyFont="1" applyFill="1" applyBorder="1" applyAlignment="1">
      <alignment vertical="center"/>
    </xf>
    <xf numFmtId="0" fontId="8" fillId="11" borderId="3" xfId="4" applyFont="1" applyFill="1" applyBorder="1" applyAlignment="1">
      <alignment vertical="center"/>
    </xf>
    <xf numFmtId="0" fontId="8" fillId="13" borderId="3" xfId="4" applyFont="1" applyFill="1" applyBorder="1" applyAlignment="1">
      <alignment vertical="center"/>
    </xf>
    <xf numFmtId="0" fontId="8" fillId="15" borderId="3" xfId="4" applyFont="1" applyFill="1" applyBorder="1" applyAlignment="1">
      <alignment vertical="center"/>
    </xf>
    <xf numFmtId="0" fontId="8" fillId="22" borderId="3" xfId="4" applyFont="1" applyFill="1" applyBorder="1" applyAlignment="1">
      <alignment vertical="center"/>
    </xf>
    <xf numFmtId="0" fontId="6" fillId="22" borderId="4" xfId="4" applyFont="1" applyFill="1" applyBorder="1" applyAlignment="1">
      <alignment horizontal="center" vertical="center"/>
    </xf>
    <xf numFmtId="0" fontId="5" fillId="4" borderId="0" xfId="4" applyFont="1" applyFill="1" applyAlignment="1">
      <alignment horizontal="right" vertical="center"/>
    </xf>
    <xf numFmtId="16" fontId="8" fillId="25" borderId="2" xfId="0" applyNumberFormat="1" applyFont="1" applyFill="1" applyBorder="1" applyProtection="1">
      <alignment horizontal="left" vertical="center"/>
      <protection locked="0"/>
    </xf>
    <xf numFmtId="14" fontId="8" fillId="8" borderId="2" xfId="0" applyNumberFormat="1" applyFont="1" applyFill="1" applyBorder="1" applyProtection="1">
      <alignment horizontal="left" vertical="center"/>
      <protection locked="0"/>
    </xf>
    <xf numFmtId="1" fontId="12" fillId="32" borderId="2" xfId="4" applyNumberFormat="1" applyFont="1" applyFill="1" applyBorder="1" applyAlignment="1" applyProtection="1">
      <alignment horizontal="center" vertical="center"/>
      <protection locked="0"/>
    </xf>
    <xf numFmtId="0" fontId="11" fillId="4" borderId="0" xfId="4" applyFont="1" applyFill="1" applyAlignment="1">
      <alignment horizontal="center"/>
    </xf>
    <xf numFmtId="164" fontId="5" fillId="15" borderId="27" xfId="8" applyNumberFormat="1" applyFont="1" applyFill="1" applyBorder="1" applyAlignment="1" applyProtection="1">
      <alignment horizontal="center" vertical="center"/>
      <protection locked="0"/>
    </xf>
    <xf numFmtId="1" fontId="5" fillId="9" borderId="22" xfId="8" applyNumberFormat="1" applyFont="1" applyFill="1" applyBorder="1" applyAlignment="1" applyProtection="1">
      <alignment horizontal="right" vertical="center"/>
      <protection locked="0"/>
    </xf>
    <xf numFmtId="164" fontId="5" fillId="9" borderId="1" xfId="8" applyNumberFormat="1" applyFont="1" applyFill="1" applyBorder="1" applyAlignment="1" applyProtection="1">
      <alignment horizontal="center" vertical="center"/>
      <protection locked="0"/>
    </xf>
    <xf numFmtId="1" fontId="5" fillId="15" borderId="22" xfId="8" applyNumberFormat="1" applyFont="1" applyFill="1" applyBorder="1" applyAlignment="1" applyProtection="1">
      <alignment horizontal="right" vertical="center"/>
      <protection locked="0"/>
    </xf>
    <xf numFmtId="164" fontId="5" fillId="15" borderId="1" xfId="8" applyNumberFormat="1" applyFont="1" applyFill="1" applyBorder="1" applyAlignment="1" applyProtection="1">
      <alignment horizontal="center" vertical="center"/>
      <protection locked="0"/>
    </xf>
    <xf numFmtId="0" fontId="5" fillId="18" borderId="11" xfId="8" applyFont="1" applyFill="1" applyBorder="1" applyAlignment="1" applyProtection="1">
      <alignment horizontal="right" vertical="center"/>
      <protection locked="0"/>
    </xf>
    <xf numFmtId="0" fontId="5" fillId="18" borderId="11" xfId="8" applyFont="1" applyFill="1" applyBorder="1" applyAlignment="1" applyProtection="1">
      <alignment horizontal="center" vertical="center"/>
      <protection locked="0"/>
    </xf>
    <xf numFmtId="0" fontId="5" fillId="18" borderId="12" xfId="8" applyFont="1" applyFill="1" applyBorder="1" applyAlignment="1" applyProtection="1">
      <alignment horizontal="center" vertical="center"/>
      <protection locked="0"/>
    </xf>
    <xf numFmtId="0" fontId="5" fillId="18" borderId="12" xfId="8" applyFont="1" applyFill="1" applyBorder="1" applyAlignment="1" applyProtection="1">
      <alignment horizontal="right" vertical="center"/>
      <protection locked="0"/>
    </xf>
    <xf numFmtId="0" fontId="5" fillId="12" borderId="11" xfId="8" applyFont="1" applyFill="1" applyBorder="1" applyAlignment="1" applyProtection="1">
      <alignment horizontal="right" vertical="center"/>
      <protection locked="0"/>
    </xf>
    <xf numFmtId="0" fontId="5" fillId="12" borderId="11" xfId="8" applyFont="1" applyFill="1" applyBorder="1" applyAlignment="1" applyProtection="1">
      <alignment horizontal="center" vertical="center"/>
      <protection locked="0"/>
    </xf>
    <xf numFmtId="0" fontId="5" fillId="14" borderId="11" xfId="8" applyFont="1" applyFill="1" applyBorder="1" applyAlignment="1" applyProtection="1">
      <alignment horizontal="right" vertical="center"/>
      <protection locked="0"/>
    </xf>
    <xf numFmtId="0" fontId="5" fillId="14" borderId="11" xfId="8" applyFont="1" applyFill="1" applyBorder="1" applyAlignment="1" applyProtection="1">
      <alignment horizontal="center" vertical="center"/>
      <protection locked="0"/>
    </xf>
    <xf numFmtId="0" fontId="5" fillId="16" borderId="11" xfId="8" applyFont="1" applyFill="1" applyBorder="1" applyAlignment="1" applyProtection="1">
      <alignment horizontal="right" vertical="center"/>
      <protection locked="0"/>
    </xf>
    <xf numFmtId="0" fontId="5" fillId="16" borderId="11" xfId="8" applyFont="1" applyFill="1" applyBorder="1" applyAlignment="1" applyProtection="1">
      <alignment horizontal="center" vertical="center"/>
      <protection locked="0"/>
    </xf>
    <xf numFmtId="1" fontId="5" fillId="16" borderId="11" xfId="8" applyNumberFormat="1" applyFont="1" applyFill="1" applyBorder="1" applyAlignment="1" applyProtection="1">
      <alignment horizontal="center" vertical="center"/>
      <protection locked="0"/>
    </xf>
    <xf numFmtId="0" fontId="5" fillId="19" borderId="11" xfId="8" applyFont="1" applyFill="1" applyBorder="1" applyAlignment="1" applyProtection="1">
      <alignment horizontal="right" vertical="center"/>
      <protection locked="0"/>
    </xf>
    <xf numFmtId="0" fontId="5" fillId="19" borderId="11" xfId="8" applyFont="1" applyFill="1" applyBorder="1" applyAlignment="1" applyProtection="1">
      <alignment horizontal="center" vertical="center"/>
      <protection locked="0"/>
    </xf>
    <xf numFmtId="0" fontId="5" fillId="4" borderId="0" xfId="4" applyFont="1" applyFill="1" applyProtection="1">
      <protection locked="0"/>
    </xf>
    <xf numFmtId="0" fontId="5" fillId="4" borderId="0" xfId="4" applyFont="1" applyFill="1" applyAlignment="1">
      <alignment horizontal="center" vertical="center"/>
    </xf>
    <xf numFmtId="0" fontId="7" fillId="4" borderId="0" xfId="4" applyFont="1" applyFill="1" applyAlignment="1">
      <alignment horizontal="center" vertical="center"/>
    </xf>
    <xf numFmtId="0" fontId="8" fillId="5" borderId="0" xfId="4" applyFont="1" applyFill="1" applyAlignment="1">
      <alignment horizontal="left" vertical="center"/>
    </xf>
    <xf numFmtId="0" fontId="8" fillId="10" borderId="0" xfId="4" applyFont="1" applyFill="1" applyAlignment="1">
      <alignment horizontal="left" vertical="center"/>
    </xf>
    <xf numFmtId="165" fontId="12" fillId="4" borderId="0" xfId="4" applyNumberFormat="1" applyFont="1" applyFill="1" applyAlignment="1">
      <alignment horizontal="center" vertical="center"/>
    </xf>
    <xf numFmtId="0" fontId="8" fillId="17" borderId="0" xfId="4" applyFont="1" applyFill="1" applyAlignment="1">
      <alignment horizontal="center" vertical="center" wrapText="1"/>
    </xf>
    <xf numFmtId="9" fontId="8" fillId="17" borderId="0" xfId="4" applyNumberFormat="1" applyFont="1" applyFill="1" applyAlignment="1">
      <alignment horizontal="center" vertical="center" wrapText="1"/>
    </xf>
    <xf numFmtId="0" fontId="8" fillId="13" borderId="0" xfId="4" applyFont="1" applyFill="1" applyAlignment="1">
      <alignment horizontal="center" vertical="center"/>
    </xf>
    <xf numFmtId="0" fontId="8" fillId="13" borderId="0" xfId="4" applyFont="1" applyFill="1" applyAlignment="1">
      <alignment horizontal="center" vertical="center" wrapText="1"/>
    </xf>
    <xf numFmtId="0" fontId="8" fillId="24" borderId="0" xfId="4" applyFont="1" applyFill="1" applyAlignment="1">
      <alignment horizontal="left" vertical="center"/>
    </xf>
    <xf numFmtId="0" fontId="8" fillId="8" borderId="0" xfId="4" applyFont="1" applyFill="1" applyAlignment="1">
      <alignment horizontal="left" vertical="center"/>
    </xf>
    <xf numFmtId="0" fontId="8" fillId="21" borderId="0" xfId="4" applyFont="1" applyFill="1" applyAlignment="1">
      <alignment horizontal="left" vertical="center"/>
    </xf>
    <xf numFmtId="0" fontId="8" fillId="13" borderId="0" xfId="4" applyFont="1" applyFill="1" applyAlignment="1">
      <alignment horizontal="left" vertical="center"/>
    </xf>
    <xf numFmtId="0" fontId="8" fillId="15" borderId="0" xfId="4" applyFont="1" applyFill="1" applyAlignment="1">
      <alignment horizontal="left" vertical="center"/>
    </xf>
    <xf numFmtId="0" fontId="8" fillId="22" borderId="0" xfId="4" applyFont="1" applyFill="1" applyAlignment="1">
      <alignment horizontal="left" vertical="center"/>
    </xf>
    <xf numFmtId="0" fontId="8" fillId="23" borderId="0" xfId="4" applyFont="1" applyFill="1" applyAlignment="1">
      <alignment horizontal="right" vertical="center"/>
    </xf>
    <xf numFmtId="0" fontId="8" fillId="24" borderId="3" xfId="4" applyFont="1" applyFill="1" applyBorder="1" applyAlignment="1">
      <alignment horizontal="left" vertical="center"/>
    </xf>
    <xf numFmtId="0" fontId="6" fillId="24" borderId="4" xfId="4" applyFont="1" applyFill="1" applyBorder="1" applyAlignment="1">
      <alignment horizontal="center" vertical="center"/>
    </xf>
    <xf numFmtId="0" fontId="6" fillId="24" borderId="5" xfId="4" applyFont="1" applyFill="1" applyBorder="1" applyAlignment="1">
      <alignment horizontal="center" vertical="center" wrapText="1"/>
    </xf>
    <xf numFmtId="0" fontId="5" fillId="8" borderId="11" xfId="4" applyFont="1" applyFill="1" applyBorder="1" applyAlignment="1">
      <alignment horizontal="right" vertical="center"/>
    </xf>
    <xf numFmtId="166" fontId="5" fillId="24" borderId="2" xfId="4" applyNumberFormat="1" applyFont="1" applyFill="1" applyBorder="1" applyAlignment="1">
      <alignment horizontal="center" vertical="center"/>
    </xf>
    <xf numFmtId="166" fontId="8" fillId="24" borderId="2" xfId="4" applyNumberFormat="1" applyFont="1" applyFill="1" applyBorder="1" applyAlignment="1">
      <alignment horizontal="center" vertical="center"/>
    </xf>
    <xf numFmtId="164" fontId="5" fillId="9" borderId="1" xfId="4" applyNumberFormat="1" applyFont="1" applyFill="1" applyBorder="1" applyAlignment="1">
      <alignment horizontal="center" vertical="center"/>
    </xf>
    <xf numFmtId="164" fontId="5" fillId="15" borderId="1" xfId="4" applyNumberFormat="1" applyFont="1" applyFill="1" applyBorder="1" applyAlignment="1">
      <alignment horizontal="center" vertical="center"/>
    </xf>
    <xf numFmtId="0" fontId="5" fillId="18" borderId="11" xfId="4" applyFont="1" applyFill="1" applyBorder="1" applyAlignment="1">
      <alignment horizontal="right" vertical="center"/>
    </xf>
    <xf numFmtId="0" fontId="8" fillId="21" borderId="4" xfId="4" applyFont="1" applyFill="1" applyBorder="1" applyAlignment="1">
      <alignment vertical="center"/>
    </xf>
    <xf numFmtId="0" fontId="5" fillId="5" borderId="11" xfId="4" applyFont="1" applyFill="1" applyBorder="1" applyAlignment="1">
      <alignment horizontal="right" vertical="center"/>
    </xf>
    <xf numFmtId="0" fontId="8" fillId="10" borderId="4" xfId="4" applyFont="1" applyFill="1" applyBorder="1" applyAlignment="1">
      <alignment vertical="center"/>
    </xf>
    <xf numFmtId="0" fontId="8" fillId="11" borderId="4" xfId="4" applyFont="1" applyFill="1" applyBorder="1" applyAlignment="1">
      <alignment vertical="center"/>
    </xf>
    <xf numFmtId="0" fontId="5" fillId="14" borderId="11" xfId="4" applyFont="1" applyFill="1" applyBorder="1" applyAlignment="1">
      <alignment horizontal="right" vertical="center"/>
    </xf>
    <xf numFmtId="0" fontId="8" fillId="13" borderId="4" xfId="4" applyFont="1" applyFill="1" applyBorder="1" applyAlignment="1">
      <alignment vertical="center"/>
    </xf>
    <xf numFmtId="0" fontId="8" fillId="15" borderId="4" xfId="4" applyFont="1" applyFill="1" applyBorder="1" applyAlignment="1">
      <alignment vertical="center"/>
    </xf>
    <xf numFmtId="0" fontId="5" fillId="19" borderId="11" xfId="4" applyFont="1" applyFill="1" applyBorder="1" applyAlignment="1">
      <alignment horizontal="right" vertical="center"/>
    </xf>
    <xf numFmtId="0" fontId="5" fillId="19" borderId="11" xfId="4" applyFont="1" applyFill="1" applyBorder="1" applyAlignment="1">
      <alignment horizontal="center" vertical="center"/>
    </xf>
    <xf numFmtId="0" fontId="8" fillId="22" borderId="4" xfId="4" applyFont="1" applyFill="1" applyBorder="1" applyAlignment="1">
      <alignment vertical="center"/>
    </xf>
    <xf numFmtId="0" fontId="5" fillId="18" borderId="12" xfId="4" applyFont="1" applyFill="1" applyBorder="1" applyAlignment="1">
      <alignment horizontal="right" vertical="center"/>
    </xf>
    <xf numFmtId="0" fontId="5" fillId="12" borderId="11" xfId="4" applyFont="1" applyFill="1" applyBorder="1" applyAlignment="1">
      <alignment horizontal="right" vertical="center"/>
    </xf>
    <xf numFmtId="168" fontId="5" fillId="9" borderId="1" xfId="4" applyNumberFormat="1" applyFont="1" applyFill="1" applyBorder="1" applyAlignment="1">
      <alignment horizontal="center" vertical="center"/>
    </xf>
    <xf numFmtId="168" fontId="5" fillId="15" borderId="1" xfId="4" applyNumberFormat="1" applyFont="1" applyFill="1" applyBorder="1" applyAlignment="1">
      <alignment horizontal="center" vertical="center"/>
    </xf>
    <xf numFmtId="169" fontId="5" fillId="9" borderId="1" xfId="4" applyNumberFormat="1" applyFont="1" applyFill="1" applyBorder="1" applyAlignment="1">
      <alignment horizontal="center" vertical="center"/>
    </xf>
    <xf numFmtId="169" fontId="5" fillId="15" borderId="1" xfId="4" applyNumberFormat="1" applyFont="1" applyFill="1" applyBorder="1" applyAlignment="1">
      <alignment horizontal="center" vertical="center"/>
    </xf>
    <xf numFmtId="3" fontId="5" fillId="8" borderId="11" xfId="4" applyNumberFormat="1" applyFont="1" applyFill="1" applyBorder="1" applyAlignment="1" applyProtection="1">
      <alignment horizontal="center" vertical="center"/>
      <protection locked="0"/>
    </xf>
    <xf numFmtId="170" fontId="5" fillId="15" borderId="27" xfId="8" applyNumberFormat="1" applyFont="1" applyFill="1" applyBorder="1" applyAlignment="1" applyProtection="1">
      <alignment horizontal="center" vertical="center"/>
      <protection locked="0"/>
    </xf>
    <xf numFmtId="170" fontId="5" fillId="9" borderId="1" xfId="8" applyNumberFormat="1" applyFont="1" applyFill="1" applyBorder="1" applyAlignment="1" applyProtection="1">
      <alignment horizontal="center" vertical="center"/>
      <protection locked="0"/>
    </xf>
    <xf numFmtId="170" fontId="5" fillId="15" borderId="1" xfId="8" applyNumberFormat="1" applyFont="1" applyFill="1" applyBorder="1" applyAlignment="1" applyProtection="1">
      <alignment horizontal="center" vertical="center"/>
      <protection locked="0"/>
    </xf>
    <xf numFmtId="170" fontId="5" fillId="18" borderId="11" xfId="8" applyNumberFormat="1" applyFont="1" applyFill="1" applyBorder="1" applyAlignment="1" applyProtection="1">
      <alignment horizontal="center" vertical="center"/>
      <protection locked="0"/>
    </xf>
    <xf numFmtId="170" fontId="5" fillId="12" borderId="11" xfId="8" applyNumberFormat="1" applyFont="1" applyFill="1" applyBorder="1" applyAlignment="1" applyProtection="1">
      <alignment horizontal="center" vertical="center"/>
      <protection locked="0"/>
    </xf>
    <xf numFmtId="170" fontId="5" fillId="14" borderId="11" xfId="8" applyNumberFormat="1" applyFont="1" applyFill="1" applyBorder="1" applyAlignment="1" applyProtection="1">
      <alignment horizontal="center" vertical="center"/>
      <protection locked="0"/>
    </xf>
    <xf numFmtId="170" fontId="5" fillId="16" borderId="11" xfId="8" applyNumberFormat="1" applyFont="1" applyFill="1" applyBorder="1" applyAlignment="1" applyProtection="1">
      <alignment horizontal="center" vertical="center"/>
      <protection locked="0"/>
    </xf>
    <xf numFmtId="170" fontId="5" fillId="19" borderId="11" xfId="8" applyNumberFormat="1" applyFont="1" applyFill="1" applyBorder="1" applyAlignment="1" applyProtection="1">
      <alignment horizontal="center" vertical="center"/>
      <protection locked="0"/>
    </xf>
    <xf numFmtId="170" fontId="5" fillId="4" borderId="0" xfId="4" applyNumberFormat="1" applyFont="1" applyFill="1"/>
    <xf numFmtId="170" fontId="6" fillId="8" borderId="5" xfId="4" applyNumberFormat="1" applyFont="1" applyFill="1" applyBorder="1" applyAlignment="1">
      <alignment horizontal="center" vertical="center"/>
    </xf>
    <xf numFmtId="170" fontId="8" fillId="8" borderId="10" xfId="4" applyNumberFormat="1" applyFont="1" applyFill="1" applyBorder="1" applyAlignment="1">
      <alignment horizontal="center" vertical="center"/>
    </xf>
    <xf numFmtId="170" fontId="5" fillId="4" borderId="0" xfId="4" applyNumberFormat="1" applyFont="1" applyFill="1" applyAlignment="1">
      <alignment horizontal="center"/>
    </xf>
    <xf numFmtId="170" fontId="16" fillId="26" borderId="0" xfId="4" applyNumberFormat="1" applyFont="1" applyFill="1" applyAlignment="1">
      <alignment horizontal="center" vertical="center" wrapText="1"/>
    </xf>
    <xf numFmtId="170" fontId="8" fillId="25" borderId="0" xfId="4" applyNumberFormat="1" applyFont="1" applyFill="1" applyAlignment="1">
      <alignment horizontal="center" vertical="center" wrapText="1"/>
    </xf>
    <xf numFmtId="170" fontId="8" fillId="14" borderId="0" xfId="4" applyNumberFormat="1" applyFont="1" applyFill="1" applyAlignment="1">
      <alignment horizontal="center" vertical="center" wrapText="1"/>
    </xf>
    <xf numFmtId="170" fontId="5" fillId="24" borderId="0" xfId="4" applyNumberFormat="1" applyFont="1" applyFill="1" applyAlignment="1">
      <alignment horizontal="center" vertical="center"/>
    </xf>
    <xf numFmtId="170" fontId="5" fillId="8" borderId="0" xfId="4" applyNumberFormat="1" applyFont="1" applyFill="1" applyAlignment="1">
      <alignment horizontal="center" vertical="center"/>
    </xf>
    <xf numFmtId="170" fontId="5" fillId="21" borderId="0" xfId="4" applyNumberFormat="1" applyFont="1" applyFill="1" applyAlignment="1">
      <alignment horizontal="center" vertical="center"/>
    </xf>
    <xf numFmtId="170" fontId="5" fillId="10" borderId="0" xfId="4" applyNumberFormat="1" applyFont="1" applyFill="1" applyAlignment="1">
      <alignment horizontal="center" vertical="center"/>
    </xf>
    <xf numFmtId="170" fontId="5" fillId="13" borderId="0" xfId="4" applyNumberFormat="1" applyFont="1" applyFill="1" applyAlignment="1">
      <alignment horizontal="center" vertical="center"/>
    </xf>
    <xf numFmtId="170" fontId="5" fillId="15" borderId="0" xfId="4" applyNumberFormat="1" applyFont="1" applyFill="1" applyAlignment="1">
      <alignment horizontal="center" vertical="center"/>
    </xf>
    <xf numFmtId="170" fontId="5" fillId="22" borderId="0" xfId="4" applyNumberFormat="1" applyFont="1" applyFill="1" applyAlignment="1">
      <alignment horizontal="center" vertical="center"/>
    </xf>
    <xf numFmtId="170" fontId="8" fillId="23" borderId="0" xfId="4" applyNumberFormat="1" applyFont="1" applyFill="1" applyAlignment="1">
      <alignment horizontal="center" vertical="center"/>
    </xf>
    <xf numFmtId="170" fontId="5" fillId="8" borderId="11" xfId="4" applyNumberFormat="1" applyFont="1" applyFill="1" applyBorder="1" applyAlignment="1">
      <alignment horizontal="center" vertical="center"/>
    </xf>
    <xf numFmtId="170" fontId="5" fillId="8" borderId="11" xfId="4" applyNumberFormat="1" applyFont="1" applyFill="1" applyBorder="1" applyAlignment="1" applyProtection="1">
      <alignment horizontal="center" vertical="center"/>
      <protection locked="0"/>
    </xf>
    <xf numFmtId="170" fontId="5" fillId="8" borderId="17" xfId="4" applyNumberFormat="1" applyFont="1" applyFill="1" applyBorder="1" applyAlignment="1">
      <alignment horizontal="center" vertical="center"/>
    </xf>
    <xf numFmtId="170" fontId="8" fillId="24" borderId="2" xfId="4" applyNumberFormat="1" applyFont="1" applyFill="1" applyBorder="1" applyAlignment="1">
      <alignment horizontal="center" vertical="center"/>
    </xf>
    <xf numFmtId="170" fontId="5" fillId="15" borderId="27" xfId="4" applyNumberFormat="1" applyFont="1" applyFill="1" applyBorder="1" applyAlignment="1">
      <alignment horizontal="center" vertical="center"/>
    </xf>
    <xf numFmtId="170" fontId="5" fillId="15" borderId="26" xfId="4" applyNumberFormat="1" applyFont="1" applyFill="1" applyBorder="1" applyAlignment="1">
      <alignment horizontal="center" vertical="center"/>
    </xf>
    <xf numFmtId="170" fontId="5" fillId="9" borderId="1" xfId="4" applyNumberFormat="1" applyFont="1" applyFill="1" applyBorder="1" applyAlignment="1">
      <alignment horizontal="center" vertical="center"/>
    </xf>
    <xf numFmtId="170" fontId="5" fillId="16" borderId="26" xfId="4" applyNumberFormat="1" applyFont="1" applyFill="1" applyBorder="1" applyAlignment="1">
      <alignment horizontal="center" vertical="center"/>
    </xf>
    <xf numFmtId="170" fontId="5" fillId="15" borderId="1" xfId="4" applyNumberFormat="1" applyFont="1" applyFill="1" applyBorder="1" applyAlignment="1">
      <alignment horizontal="center" vertical="center"/>
    </xf>
    <xf numFmtId="170" fontId="8" fillId="21" borderId="4" xfId="4" applyNumberFormat="1" applyFont="1" applyFill="1" applyBorder="1" applyAlignment="1">
      <alignment vertical="center"/>
    </xf>
    <xf numFmtId="170" fontId="8" fillId="21" borderId="2" xfId="4" applyNumberFormat="1" applyFont="1" applyFill="1" applyBorder="1" applyAlignment="1">
      <alignment horizontal="center" vertical="center"/>
    </xf>
    <xf numFmtId="170" fontId="8" fillId="10" borderId="4" xfId="4" applyNumberFormat="1" applyFont="1" applyFill="1" applyBorder="1" applyAlignment="1">
      <alignment vertical="center"/>
    </xf>
    <xf numFmtId="170" fontId="8" fillId="10" borderId="2" xfId="4" applyNumberFormat="1" applyFont="1" applyFill="1" applyBorder="1" applyAlignment="1">
      <alignment horizontal="center" vertical="center"/>
    </xf>
    <xf numFmtId="170" fontId="8" fillId="11" borderId="4" xfId="4" applyNumberFormat="1" applyFont="1" applyFill="1" applyBorder="1" applyAlignment="1">
      <alignment vertical="center"/>
    </xf>
    <xf numFmtId="170" fontId="8" fillId="11" borderId="2" xfId="4" applyNumberFormat="1" applyFont="1" applyFill="1" applyBorder="1" applyAlignment="1">
      <alignment horizontal="center" vertical="center"/>
    </xf>
    <xf numFmtId="170" fontId="8" fillId="13" borderId="4" xfId="4" applyNumberFormat="1" applyFont="1" applyFill="1" applyBorder="1" applyAlignment="1">
      <alignment vertical="center"/>
    </xf>
    <xf numFmtId="170" fontId="8" fillId="13" borderId="2" xfId="4" applyNumberFormat="1" applyFont="1" applyFill="1" applyBorder="1" applyAlignment="1">
      <alignment horizontal="center" vertical="center"/>
    </xf>
    <xf numFmtId="170" fontId="8" fillId="15" borderId="4" xfId="4" applyNumberFormat="1" applyFont="1" applyFill="1" applyBorder="1" applyAlignment="1">
      <alignment vertical="center"/>
    </xf>
    <xf numFmtId="170" fontId="8" fillId="15" borderId="2" xfId="4" applyNumberFormat="1" applyFont="1" applyFill="1" applyBorder="1" applyAlignment="1">
      <alignment horizontal="center" vertical="center"/>
    </xf>
    <xf numFmtId="170" fontId="6" fillId="22" borderId="4" xfId="4" applyNumberFormat="1" applyFont="1" applyFill="1" applyBorder="1" applyAlignment="1">
      <alignment horizontal="center" vertical="center"/>
    </xf>
    <xf numFmtId="170" fontId="6" fillId="22" borderId="2" xfId="4" applyNumberFormat="1" applyFont="1" applyFill="1" applyBorder="1" applyAlignment="1">
      <alignment horizontal="center" vertical="center"/>
    </xf>
    <xf numFmtId="170" fontId="5" fillId="19" borderId="11" xfId="4" applyNumberFormat="1" applyFont="1" applyFill="1" applyBorder="1" applyAlignment="1">
      <alignment horizontal="center" vertical="center"/>
    </xf>
    <xf numFmtId="170" fontId="5" fillId="19" borderId="17" xfId="4" applyNumberFormat="1" applyFont="1" applyFill="1" applyBorder="1" applyAlignment="1">
      <alignment horizontal="center" vertical="center"/>
    </xf>
    <xf numFmtId="170" fontId="8" fillId="22" borderId="4" xfId="4" applyNumberFormat="1" applyFont="1" applyFill="1" applyBorder="1" applyAlignment="1">
      <alignment vertical="center"/>
    </xf>
    <xf numFmtId="170" fontId="8" fillId="22" borderId="2" xfId="4" applyNumberFormat="1" applyFont="1" applyFill="1" applyBorder="1" applyAlignment="1">
      <alignment horizontal="center" vertical="center"/>
    </xf>
    <xf numFmtId="170" fontId="6" fillId="21" borderId="5" xfId="4" applyNumberFormat="1" applyFont="1" applyFill="1" applyBorder="1" applyAlignment="1">
      <alignment horizontal="center" vertical="center"/>
    </xf>
    <xf numFmtId="170" fontId="6" fillId="11" borderId="5" xfId="4" applyNumberFormat="1" applyFont="1" applyFill="1" applyBorder="1" applyAlignment="1">
      <alignment horizontal="center" vertical="center"/>
    </xf>
    <xf numFmtId="170" fontId="5" fillId="30" borderId="27" xfId="4" applyNumberFormat="1" applyFont="1" applyFill="1" applyBorder="1" applyAlignment="1">
      <alignment horizontal="center" vertical="center"/>
    </xf>
    <xf numFmtId="170" fontId="5" fillId="30" borderId="1" xfId="4" applyNumberFormat="1" applyFont="1" applyFill="1" applyBorder="1" applyAlignment="1">
      <alignment horizontal="center" vertical="center"/>
    </xf>
    <xf numFmtId="170" fontId="5" fillId="25" borderId="26" xfId="4" applyNumberFormat="1" applyFont="1" applyFill="1" applyBorder="1" applyAlignment="1">
      <alignment horizontal="center" vertical="center"/>
    </xf>
    <xf numFmtId="170" fontId="6" fillId="35" borderId="5" xfId="4" applyNumberFormat="1" applyFont="1" applyFill="1" applyBorder="1" applyAlignment="1">
      <alignment horizontal="center" vertical="center"/>
    </xf>
    <xf numFmtId="170" fontId="8" fillId="35" borderId="2" xfId="4" applyNumberFormat="1" applyFont="1" applyFill="1" applyBorder="1" applyAlignment="1">
      <alignment horizontal="center" vertical="center"/>
    </xf>
    <xf numFmtId="170" fontId="6" fillId="7" borderId="5" xfId="4" applyNumberFormat="1" applyFont="1" applyFill="1" applyBorder="1" applyAlignment="1">
      <alignment horizontal="center" vertical="center"/>
    </xf>
    <xf numFmtId="170" fontId="5" fillId="30" borderId="38" xfId="4" applyNumberFormat="1" applyFont="1" applyFill="1" applyBorder="1" applyAlignment="1">
      <alignment horizontal="center" vertical="center"/>
    </xf>
    <xf numFmtId="170" fontId="5" fillId="15" borderId="38" xfId="4" applyNumberFormat="1" applyFont="1" applyFill="1" applyBorder="1" applyAlignment="1">
      <alignment horizontal="center" vertical="center"/>
    </xf>
    <xf numFmtId="170" fontId="8" fillId="8" borderId="31" xfId="4" applyNumberFormat="1" applyFont="1" applyFill="1" applyBorder="1" applyAlignment="1">
      <alignment vertical="center"/>
    </xf>
    <xf numFmtId="170" fontId="6" fillId="7" borderId="9" xfId="4" applyNumberFormat="1" applyFont="1" applyFill="1" applyBorder="1" applyAlignment="1">
      <alignment horizontal="center" vertical="center"/>
    </xf>
    <xf numFmtId="1" fontId="5" fillId="15" borderId="11" xfId="4" applyNumberFormat="1" applyFont="1" applyFill="1" applyBorder="1" applyAlignment="1">
      <alignment horizontal="right" vertical="center"/>
    </xf>
    <xf numFmtId="1" fontId="5" fillId="9" borderId="12" xfId="4" applyNumberFormat="1" applyFont="1" applyFill="1" applyBorder="1" applyAlignment="1">
      <alignment horizontal="right" vertical="center"/>
    </xf>
    <xf numFmtId="1" fontId="5" fillId="15" borderId="12" xfId="4" applyNumberFormat="1" applyFont="1" applyFill="1" applyBorder="1" applyAlignment="1">
      <alignment horizontal="right" vertical="center"/>
    </xf>
    <xf numFmtId="0" fontId="8" fillId="8" borderId="31" xfId="4" applyFont="1" applyFill="1" applyBorder="1" applyAlignment="1">
      <alignment vertical="center"/>
    </xf>
    <xf numFmtId="170" fontId="8" fillId="8" borderId="31" xfId="4" applyNumberFormat="1" applyFont="1" applyFill="1" applyBorder="1" applyAlignment="1">
      <alignment horizontal="center" vertical="center"/>
    </xf>
    <xf numFmtId="0" fontId="6" fillId="8" borderId="9" xfId="4" applyFont="1" applyFill="1" applyBorder="1" applyAlignment="1">
      <alignment horizontal="center" vertical="center"/>
    </xf>
    <xf numFmtId="170" fontId="6" fillId="8" borderId="9" xfId="4" applyNumberFormat="1" applyFont="1" applyFill="1" applyBorder="1" applyAlignment="1">
      <alignment horizontal="center" vertical="center"/>
    </xf>
    <xf numFmtId="0" fontId="8" fillId="8" borderId="13" xfId="4" applyFont="1" applyFill="1" applyBorder="1" applyAlignment="1">
      <alignment vertical="center"/>
    </xf>
    <xf numFmtId="170" fontId="8" fillId="35" borderId="10" xfId="4" applyNumberFormat="1" applyFont="1" applyFill="1" applyBorder="1" applyAlignment="1">
      <alignment horizontal="center" vertical="center"/>
    </xf>
    <xf numFmtId="1" fontId="5" fillId="9" borderId="33" xfId="4" applyNumberFormat="1" applyFont="1" applyFill="1" applyBorder="1" applyAlignment="1">
      <alignment horizontal="right" vertical="center"/>
    </xf>
    <xf numFmtId="164" fontId="5" fillId="9" borderId="20" xfId="4" applyNumberFormat="1" applyFont="1" applyFill="1" applyBorder="1" applyAlignment="1">
      <alignment horizontal="center" vertical="center"/>
    </xf>
    <xf numFmtId="170" fontId="5" fillId="9" borderId="20" xfId="4" applyNumberFormat="1" applyFont="1" applyFill="1" applyBorder="1" applyAlignment="1">
      <alignment horizontal="center" vertical="center"/>
    </xf>
    <xf numFmtId="170" fontId="5" fillId="15" borderId="20" xfId="4" applyNumberFormat="1" applyFont="1" applyFill="1" applyBorder="1" applyAlignment="1">
      <alignment horizontal="center" vertical="center"/>
    </xf>
    <xf numFmtId="170" fontId="5" fillId="15" borderId="32" xfId="4" applyNumberFormat="1" applyFont="1" applyFill="1" applyBorder="1" applyAlignment="1">
      <alignment horizontal="center" vertical="center"/>
    </xf>
    <xf numFmtId="170" fontId="5" fillId="16" borderId="39" xfId="4" applyNumberFormat="1" applyFont="1" applyFill="1" applyBorder="1" applyAlignment="1">
      <alignment horizontal="center" vertical="center"/>
    </xf>
    <xf numFmtId="170" fontId="5" fillId="25" borderId="39" xfId="4" applyNumberFormat="1" applyFont="1" applyFill="1" applyBorder="1" applyAlignment="1">
      <alignment horizontal="center" vertical="center"/>
    </xf>
    <xf numFmtId="168" fontId="5" fillId="9" borderId="20" xfId="4" applyNumberFormat="1" applyFont="1" applyFill="1" applyBorder="1" applyAlignment="1">
      <alignment horizontal="center" vertical="center"/>
    </xf>
    <xf numFmtId="169" fontId="5" fillId="9" borderId="20" xfId="4" applyNumberFormat="1" applyFont="1" applyFill="1" applyBorder="1" applyAlignment="1">
      <alignment horizontal="center" vertical="center"/>
    </xf>
    <xf numFmtId="170" fontId="6" fillId="17" borderId="5" xfId="4" applyNumberFormat="1" applyFont="1" applyFill="1" applyBorder="1" applyAlignment="1">
      <alignment horizontal="center" vertical="center"/>
    </xf>
    <xf numFmtId="170" fontId="5" fillId="18" borderId="26" xfId="4" applyNumberFormat="1" applyFont="1" applyFill="1" applyBorder="1" applyAlignment="1">
      <alignment horizontal="center" vertical="center"/>
    </xf>
    <xf numFmtId="170" fontId="5" fillId="21" borderId="38" xfId="4" applyNumberFormat="1" applyFont="1" applyFill="1" applyBorder="1" applyAlignment="1">
      <alignment horizontal="center" vertical="center"/>
    </xf>
    <xf numFmtId="170" fontId="5" fillId="18" borderId="1" xfId="4" applyNumberFormat="1" applyFont="1" applyFill="1" applyBorder="1" applyAlignment="1">
      <alignment horizontal="center" vertical="center"/>
    </xf>
    <xf numFmtId="170" fontId="5" fillId="21" borderId="1" xfId="4" applyNumberFormat="1" applyFont="1" applyFill="1" applyBorder="1" applyAlignment="1">
      <alignment horizontal="center" vertical="center"/>
    </xf>
    <xf numFmtId="0" fontId="5" fillId="18" borderId="40" xfId="4" applyFont="1" applyFill="1" applyBorder="1" applyAlignment="1">
      <alignment horizontal="right" vertical="center"/>
    </xf>
    <xf numFmtId="170" fontId="5" fillId="18" borderId="34" xfId="4" applyNumberFormat="1" applyFont="1" applyFill="1" applyBorder="1" applyAlignment="1">
      <alignment horizontal="center" vertical="center"/>
    </xf>
    <xf numFmtId="170" fontId="5" fillId="21" borderId="34" xfId="4" applyNumberFormat="1" applyFont="1" applyFill="1" applyBorder="1" applyAlignment="1">
      <alignment horizontal="center" vertical="center"/>
    </xf>
    <xf numFmtId="0" fontId="5" fillId="18" borderId="41" xfId="4" applyFont="1" applyFill="1" applyBorder="1" applyAlignment="1">
      <alignment horizontal="right" vertical="center"/>
    </xf>
    <xf numFmtId="170" fontId="8" fillId="21" borderId="5" xfId="4" applyNumberFormat="1" applyFont="1" applyFill="1" applyBorder="1" applyAlignment="1">
      <alignment vertical="center"/>
    </xf>
    <xf numFmtId="170" fontId="6" fillId="35" borderId="2" xfId="4" applyNumberFormat="1" applyFont="1" applyFill="1" applyBorder="1" applyAlignment="1">
      <alignment horizontal="center" vertical="center"/>
    </xf>
    <xf numFmtId="170" fontId="5" fillId="25" borderId="17" xfId="4" applyNumberFormat="1" applyFont="1" applyFill="1" applyBorder="1" applyAlignment="1">
      <alignment horizontal="center" vertical="center"/>
    </xf>
    <xf numFmtId="170" fontId="5" fillId="21" borderId="42" xfId="4" applyNumberFormat="1" applyFont="1" applyFill="1" applyBorder="1" applyAlignment="1">
      <alignment horizontal="center" vertical="center"/>
    </xf>
    <xf numFmtId="170" fontId="5" fillId="18" borderId="43" xfId="4" applyNumberFormat="1" applyFont="1" applyFill="1" applyBorder="1" applyAlignment="1">
      <alignment horizontal="center" vertical="center"/>
    </xf>
    <xf numFmtId="170" fontId="5" fillId="25" borderId="24" xfId="4" applyNumberFormat="1" applyFont="1" applyFill="1" applyBorder="1" applyAlignment="1">
      <alignment horizontal="center" vertical="center"/>
    </xf>
    <xf numFmtId="170" fontId="8" fillId="21" borderId="44" xfId="4" applyNumberFormat="1" applyFont="1" applyFill="1" applyBorder="1" applyAlignment="1">
      <alignment horizontal="center" vertical="center"/>
    </xf>
    <xf numFmtId="170" fontId="24" fillId="21" borderId="44" xfId="4" applyNumberFormat="1" applyFont="1" applyFill="1" applyBorder="1" applyAlignment="1">
      <alignment horizontal="center" vertical="center"/>
    </xf>
    <xf numFmtId="170" fontId="24" fillId="35" borderId="2" xfId="4" applyNumberFormat="1" applyFont="1" applyFill="1" applyBorder="1" applyAlignment="1">
      <alignment horizontal="center" vertical="center"/>
    </xf>
    <xf numFmtId="170" fontId="5" fillId="25" borderId="1" xfId="4" applyNumberFormat="1" applyFont="1" applyFill="1" applyBorder="1" applyAlignment="1">
      <alignment horizontal="center" vertical="center"/>
    </xf>
    <xf numFmtId="0" fontId="5" fillId="5" borderId="40" xfId="4" applyFont="1" applyFill="1" applyBorder="1" applyAlignment="1">
      <alignment horizontal="right" vertical="center"/>
    </xf>
    <xf numFmtId="170" fontId="5" fillId="25" borderId="34" xfId="4" applyNumberFormat="1" applyFont="1" applyFill="1" applyBorder="1" applyAlignment="1">
      <alignment horizontal="center" vertical="center"/>
    </xf>
    <xf numFmtId="170" fontId="5" fillId="18" borderId="27" xfId="4" applyNumberFormat="1" applyFont="1" applyFill="1" applyBorder="1" applyAlignment="1">
      <alignment horizontal="center" vertical="center"/>
    </xf>
    <xf numFmtId="170" fontId="5" fillId="25" borderId="27" xfId="4" applyNumberFormat="1" applyFont="1" applyFill="1" applyBorder="1" applyAlignment="1">
      <alignment horizontal="center" vertical="center"/>
    </xf>
    <xf numFmtId="170" fontId="5" fillId="5" borderId="27" xfId="4" applyNumberFormat="1" applyFont="1" applyFill="1" applyBorder="1" applyAlignment="1">
      <alignment horizontal="center" vertical="center"/>
    </xf>
    <xf numFmtId="170" fontId="5" fillId="5" borderId="1" xfId="4" applyNumberFormat="1" applyFont="1" applyFill="1" applyBorder="1" applyAlignment="1">
      <alignment horizontal="center" vertical="center"/>
    </xf>
    <xf numFmtId="170" fontId="5" fillId="5" borderId="34" xfId="4" applyNumberFormat="1" applyFont="1" applyFill="1" applyBorder="1" applyAlignment="1">
      <alignment horizontal="center" vertical="center"/>
    </xf>
    <xf numFmtId="170" fontId="8" fillId="10" borderId="3" xfId="4" applyNumberFormat="1" applyFont="1" applyFill="1" applyBorder="1" applyAlignment="1">
      <alignment horizontal="center" vertical="center"/>
    </xf>
    <xf numFmtId="170" fontId="5" fillId="25" borderId="45" xfId="4" applyNumberFormat="1" applyFont="1" applyFill="1" applyBorder="1" applyAlignment="1">
      <alignment horizontal="center" vertical="center"/>
    </xf>
    <xf numFmtId="170" fontId="5" fillId="25" borderId="46" xfId="4" applyNumberFormat="1" applyFont="1" applyFill="1" applyBorder="1" applyAlignment="1">
      <alignment horizontal="center" vertical="center"/>
    </xf>
    <xf numFmtId="170" fontId="5" fillId="25" borderId="47" xfId="4" applyNumberFormat="1" applyFont="1" applyFill="1" applyBorder="1" applyAlignment="1">
      <alignment horizontal="center" vertical="center"/>
    </xf>
    <xf numFmtId="170" fontId="8" fillId="35" borderId="5" xfId="4" applyNumberFormat="1" applyFont="1" applyFill="1" applyBorder="1" applyAlignment="1">
      <alignment horizontal="center" vertical="center"/>
    </xf>
    <xf numFmtId="170" fontId="24" fillId="35" borderId="5" xfId="4" applyNumberFormat="1" applyFont="1" applyFill="1" applyBorder="1" applyAlignment="1">
      <alignment horizontal="center" vertical="center"/>
    </xf>
    <xf numFmtId="170" fontId="24" fillId="10" borderId="2" xfId="4" applyNumberFormat="1" applyFont="1" applyFill="1" applyBorder="1" applyAlignment="1">
      <alignment horizontal="center" vertical="center"/>
    </xf>
    <xf numFmtId="0" fontId="5" fillId="18" borderId="27" xfId="4" applyFont="1" applyFill="1" applyBorder="1" applyAlignment="1">
      <alignment horizontal="center" vertical="center"/>
    </xf>
    <xf numFmtId="170" fontId="5" fillId="21" borderId="27" xfId="4" applyNumberFormat="1" applyFont="1" applyFill="1" applyBorder="1" applyAlignment="1">
      <alignment horizontal="center" vertical="center"/>
    </xf>
    <xf numFmtId="0" fontId="6" fillId="21" borderId="9" xfId="4" applyFont="1" applyFill="1" applyBorder="1" applyAlignment="1">
      <alignment horizontal="center" vertical="center"/>
    </xf>
    <xf numFmtId="170" fontId="6" fillId="21" borderId="9" xfId="4" applyNumberFormat="1" applyFont="1" applyFill="1" applyBorder="1" applyAlignment="1">
      <alignment horizontal="center" vertical="center"/>
    </xf>
    <xf numFmtId="170" fontId="6" fillId="17" borderId="9" xfId="4" applyNumberFormat="1" applyFont="1" applyFill="1" applyBorder="1" applyAlignment="1">
      <alignment horizontal="center" vertical="center"/>
    </xf>
    <xf numFmtId="170" fontId="5" fillId="12" borderId="38" xfId="4" applyNumberFormat="1" applyFont="1" applyFill="1" applyBorder="1" applyAlignment="1">
      <alignment horizontal="center" vertical="center"/>
    </xf>
    <xf numFmtId="0" fontId="5" fillId="12" borderId="1" xfId="4" applyFont="1" applyFill="1" applyBorder="1" applyAlignment="1">
      <alignment horizontal="center" vertical="center"/>
    </xf>
    <xf numFmtId="170" fontId="5" fillId="12" borderId="1" xfId="4" applyNumberFormat="1" applyFont="1" applyFill="1" applyBorder="1" applyAlignment="1">
      <alignment horizontal="center" vertical="center"/>
    </xf>
    <xf numFmtId="170" fontId="5" fillId="12" borderId="27" xfId="4" applyNumberFormat="1" applyFont="1" applyFill="1" applyBorder="1" applyAlignment="1">
      <alignment horizontal="center" vertical="center"/>
    </xf>
    <xf numFmtId="0" fontId="6" fillId="11" borderId="9" xfId="4" applyFont="1" applyFill="1" applyBorder="1" applyAlignment="1">
      <alignment horizontal="center" vertical="center"/>
    </xf>
    <xf numFmtId="170" fontId="6" fillId="11" borderId="9" xfId="4" applyNumberFormat="1" applyFont="1" applyFill="1" applyBorder="1" applyAlignment="1">
      <alignment horizontal="center" vertical="center"/>
    </xf>
    <xf numFmtId="170" fontId="5" fillId="12" borderId="34" xfId="4" applyNumberFormat="1" applyFont="1" applyFill="1" applyBorder="1" applyAlignment="1">
      <alignment horizontal="center" vertical="center"/>
    </xf>
    <xf numFmtId="170" fontId="5" fillId="12" borderId="42" xfId="4" applyNumberFormat="1" applyFont="1" applyFill="1" applyBorder="1" applyAlignment="1">
      <alignment horizontal="center" vertical="center"/>
    </xf>
    <xf numFmtId="0" fontId="5" fillId="12" borderId="40" xfId="4" applyFont="1" applyFill="1" applyBorder="1" applyAlignment="1">
      <alignment horizontal="right" vertical="center"/>
    </xf>
    <xf numFmtId="0" fontId="5" fillId="5" borderId="1" xfId="4" applyFont="1" applyFill="1" applyBorder="1" applyAlignment="1">
      <alignment horizontal="right" vertical="center"/>
    </xf>
    <xf numFmtId="170" fontId="5" fillId="10" borderId="1" xfId="4" applyNumberFormat="1" applyFont="1" applyFill="1" applyBorder="1" applyAlignment="1">
      <alignment horizontal="center" vertical="center"/>
    </xf>
    <xf numFmtId="0" fontId="5" fillId="5" borderId="34" xfId="4" applyFont="1" applyFill="1" applyBorder="1" applyAlignment="1">
      <alignment horizontal="right" vertical="center"/>
    </xf>
    <xf numFmtId="170" fontId="5" fillId="10" borderId="34" xfId="4" applyNumberFormat="1" applyFont="1" applyFill="1" applyBorder="1" applyAlignment="1">
      <alignment horizontal="center" vertical="center"/>
    </xf>
    <xf numFmtId="0" fontId="5" fillId="5" borderId="27" xfId="4" applyFont="1" applyFill="1" applyBorder="1" applyAlignment="1">
      <alignment horizontal="right" vertical="center"/>
    </xf>
    <xf numFmtId="0" fontId="5" fillId="5" borderId="27" xfId="4" applyFont="1" applyFill="1" applyBorder="1" applyAlignment="1">
      <alignment horizontal="center" vertical="center"/>
    </xf>
    <xf numFmtId="170" fontId="5" fillId="10" borderId="27" xfId="4" applyNumberFormat="1" applyFont="1" applyFill="1" applyBorder="1" applyAlignment="1">
      <alignment horizontal="center" vertical="center"/>
    </xf>
    <xf numFmtId="0" fontId="8" fillId="10" borderId="8" xfId="4" applyFont="1" applyFill="1" applyBorder="1" applyAlignment="1">
      <alignment vertical="center"/>
    </xf>
    <xf numFmtId="0" fontId="6" fillId="10" borderId="9" xfId="4" applyFont="1" applyFill="1" applyBorder="1" applyAlignment="1">
      <alignment horizontal="center" vertical="center"/>
    </xf>
    <xf numFmtId="170" fontId="6" fillId="10" borderId="9" xfId="4" applyNumberFormat="1" applyFont="1" applyFill="1" applyBorder="1" applyAlignment="1">
      <alignment horizontal="center" vertical="center"/>
    </xf>
    <xf numFmtId="170" fontId="6" fillId="29" borderId="9" xfId="4" applyNumberFormat="1" applyFont="1" applyFill="1" applyBorder="1" applyAlignment="1">
      <alignment horizontal="center" vertical="center"/>
    </xf>
    <xf numFmtId="170" fontId="6" fillId="35" borderId="44" xfId="4" applyNumberFormat="1" applyFont="1" applyFill="1" applyBorder="1" applyAlignment="1">
      <alignment horizontal="center" vertical="center"/>
    </xf>
    <xf numFmtId="170" fontId="5" fillId="8" borderId="27" xfId="4" applyNumberFormat="1" applyFont="1" applyFill="1" applyBorder="1" applyAlignment="1">
      <alignment horizontal="center" vertical="center"/>
    </xf>
    <xf numFmtId="170" fontId="5" fillId="8" borderId="1" xfId="4" applyNumberFormat="1" applyFont="1" applyFill="1" applyBorder="1" applyAlignment="1">
      <alignment horizontal="center" vertical="center"/>
    </xf>
    <xf numFmtId="170" fontId="5" fillId="8" borderId="34" xfId="4" applyNumberFormat="1" applyFont="1" applyFill="1" applyBorder="1" applyAlignment="1">
      <alignment horizontal="center" vertical="center"/>
    </xf>
    <xf numFmtId="170" fontId="5" fillId="14" borderId="38" xfId="4" applyNumberFormat="1" applyFont="1" applyFill="1" applyBorder="1" applyAlignment="1">
      <alignment horizontal="center" vertical="center"/>
    </xf>
    <xf numFmtId="0" fontId="5" fillId="14" borderId="1" xfId="4" applyFont="1" applyFill="1" applyBorder="1" applyAlignment="1">
      <alignment horizontal="center" vertical="center"/>
    </xf>
    <xf numFmtId="170" fontId="5" fillId="14" borderId="1" xfId="4" applyNumberFormat="1" applyFont="1" applyFill="1" applyBorder="1" applyAlignment="1">
      <alignment horizontal="center" vertical="center"/>
    </xf>
    <xf numFmtId="170" fontId="5" fillId="13" borderId="1" xfId="4" applyNumberFormat="1" applyFont="1" applyFill="1" applyBorder="1" applyAlignment="1">
      <alignment horizontal="center" vertical="center"/>
    </xf>
    <xf numFmtId="0" fontId="5" fillId="14" borderId="27" xfId="4" applyFont="1" applyFill="1" applyBorder="1" applyAlignment="1">
      <alignment horizontal="center" vertical="center"/>
    </xf>
    <xf numFmtId="170" fontId="5" fillId="14" borderId="27" xfId="4" applyNumberFormat="1" applyFont="1" applyFill="1" applyBorder="1" applyAlignment="1">
      <alignment horizontal="center" vertical="center"/>
    </xf>
    <xf numFmtId="170" fontId="5" fillId="13" borderId="27" xfId="4" applyNumberFormat="1" applyFont="1" applyFill="1" applyBorder="1" applyAlignment="1">
      <alignment horizontal="center" vertical="center"/>
    </xf>
    <xf numFmtId="0" fontId="5" fillId="14" borderId="40" xfId="4" applyFont="1" applyFill="1" applyBorder="1" applyAlignment="1">
      <alignment horizontal="right" vertical="center"/>
    </xf>
    <xf numFmtId="0" fontId="5" fillId="14" borderId="34" xfId="4" applyFont="1" applyFill="1" applyBorder="1" applyAlignment="1">
      <alignment horizontal="center" vertical="center"/>
    </xf>
    <xf numFmtId="170" fontId="5" fillId="14" borderId="34" xfId="4" applyNumberFormat="1" applyFont="1" applyFill="1" applyBorder="1" applyAlignment="1">
      <alignment horizontal="center" vertical="center"/>
    </xf>
    <xf numFmtId="170" fontId="5" fillId="13" borderId="34" xfId="4" applyNumberFormat="1" applyFont="1" applyFill="1" applyBorder="1" applyAlignment="1">
      <alignment horizontal="center" vertical="center"/>
    </xf>
    <xf numFmtId="170" fontId="5" fillId="14" borderId="42" xfId="4" applyNumberFormat="1" applyFont="1" applyFill="1" applyBorder="1" applyAlignment="1">
      <alignment horizontal="center" vertical="center"/>
    </xf>
    <xf numFmtId="0" fontId="8" fillId="13" borderId="8" xfId="4" applyFont="1" applyFill="1" applyBorder="1" applyAlignment="1">
      <alignment vertical="center"/>
    </xf>
    <xf numFmtId="0" fontId="6" fillId="13" borderId="9" xfId="4" applyFont="1" applyFill="1" applyBorder="1" applyAlignment="1">
      <alignment horizontal="center" vertical="center"/>
    </xf>
    <xf numFmtId="170" fontId="6" fillId="13" borderId="9" xfId="4" applyNumberFormat="1" applyFont="1" applyFill="1" applyBorder="1" applyAlignment="1">
      <alignment horizontal="center" vertical="center"/>
    </xf>
    <xf numFmtId="170" fontId="6" fillId="23" borderId="9" xfId="4" applyNumberFormat="1" applyFont="1" applyFill="1" applyBorder="1" applyAlignment="1">
      <alignment horizontal="center" vertical="center"/>
    </xf>
    <xf numFmtId="170" fontId="6" fillId="15" borderId="9" xfId="4" applyNumberFormat="1" applyFont="1" applyFill="1" applyBorder="1" applyAlignment="1">
      <alignment horizontal="center" vertical="center"/>
    </xf>
    <xf numFmtId="0" fontId="5" fillId="16" borderId="1" xfId="4" applyFont="1" applyFill="1" applyBorder="1" applyAlignment="1">
      <alignment horizontal="right" vertical="center"/>
    </xf>
    <xf numFmtId="0" fontId="5" fillId="16" borderId="1" xfId="4" applyFont="1" applyFill="1" applyBorder="1" applyAlignment="1">
      <alignment horizontal="center" vertical="center"/>
    </xf>
    <xf numFmtId="170" fontId="5" fillId="16" borderId="1" xfId="4" applyNumberFormat="1" applyFont="1" applyFill="1" applyBorder="1" applyAlignment="1">
      <alignment horizontal="center" vertical="center"/>
    </xf>
    <xf numFmtId="1" fontId="5" fillId="16" borderId="1" xfId="4" applyNumberFormat="1" applyFont="1" applyFill="1" applyBorder="1" applyAlignment="1">
      <alignment horizontal="center" vertical="center"/>
    </xf>
    <xf numFmtId="0" fontId="5" fillId="16" borderId="27" xfId="4" applyFont="1" applyFill="1" applyBorder="1" applyAlignment="1">
      <alignment horizontal="right" vertical="center"/>
    </xf>
    <xf numFmtId="0" fontId="5" fillId="16" borderId="27" xfId="4" applyFont="1" applyFill="1" applyBorder="1" applyAlignment="1">
      <alignment horizontal="center" vertical="center"/>
    </xf>
    <xf numFmtId="170" fontId="5" fillId="16" borderId="27" xfId="4" applyNumberFormat="1" applyFont="1" applyFill="1" applyBorder="1" applyAlignment="1">
      <alignment horizontal="center" vertical="center"/>
    </xf>
    <xf numFmtId="0" fontId="8" fillId="15" borderId="8" xfId="4" applyFont="1" applyFill="1" applyBorder="1" applyAlignment="1">
      <alignment vertical="center"/>
    </xf>
    <xf numFmtId="0" fontId="6" fillId="15" borderId="9" xfId="4" applyFont="1" applyFill="1" applyBorder="1" applyAlignment="1">
      <alignment horizontal="center" vertical="center"/>
    </xf>
    <xf numFmtId="170" fontId="6" fillId="30" borderId="9" xfId="4" applyNumberFormat="1" applyFont="1" applyFill="1" applyBorder="1" applyAlignment="1">
      <alignment horizontal="center" vertical="center"/>
    </xf>
    <xf numFmtId="170" fontId="5" fillId="8" borderId="38" xfId="4" applyNumberFormat="1" applyFont="1" applyFill="1" applyBorder="1" applyAlignment="1">
      <alignment horizontal="center" vertical="center"/>
    </xf>
    <xf numFmtId="170" fontId="5" fillId="18" borderId="38" xfId="4" applyNumberFormat="1" applyFont="1" applyFill="1" applyBorder="1" applyAlignment="1">
      <alignment horizontal="center" vertical="center"/>
    </xf>
    <xf numFmtId="170" fontId="5" fillId="5" borderId="38" xfId="4" applyNumberFormat="1" applyFont="1" applyFill="1" applyBorder="1" applyAlignment="1">
      <alignment horizontal="center" vertical="center"/>
    </xf>
    <xf numFmtId="170" fontId="5" fillId="13" borderId="38" xfId="4" applyNumberFormat="1" applyFont="1" applyFill="1" applyBorder="1" applyAlignment="1">
      <alignment horizontal="center" vertical="center"/>
    </xf>
    <xf numFmtId="0" fontId="8" fillId="8" borderId="7" xfId="4" applyFont="1" applyFill="1" applyBorder="1" applyAlignment="1">
      <alignment horizontal="left"/>
    </xf>
    <xf numFmtId="0" fontId="8" fillId="18" borderId="22" xfId="4" applyFont="1" applyFill="1" applyBorder="1" applyAlignment="1">
      <alignment horizontal="left"/>
    </xf>
    <xf numFmtId="0" fontId="8" fillId="5" borderId="22" xfId="4" applyFont="1" applyFill="1" applyBorder="1" applyAlignment="1">
      <alignment horizontal="left"/>
    </xf>
    <xf numFmtId="0" fontId="8" fillId="21" borderId="22" xfId="4" applyFont="1" applyFill="1" applyBorder="1" applyAlignment="1">
      <alignment horizontal="left"/>
    </xf>
    <xf numFmtId="0" fontId="8" fillId="13" borderId="22" xfId="4" applyFont="1" applyFill="1" applyBorder="1" applyAlignment="1">
      <alignment horizontal="left"/>
    </xf>
    <xf numFmtId="0" fontId="8" fillId="15" borderId="22" xfId="4" applyFont="1" applyFill="1" applyBorder="1" applyAlignment="1">
      <alignment horizontal="left"/>
    </xf>
    <xf numFmtId="0" fontId="24" fillId="8" borderId="7" xfId="4" applyFont="1" applyFill="1" applyBorder="1" applyAlignment="1">
      <alignment horizontal="left"/>
    </xf>
    <xf numFmtId="0" fontId="24" fillId="18" borderId="22" xfId="4" applyFont="1" applyFill="1" applyBorder="1" applyAlignment="1">
      <alignment horizontal="left"/>
    </xf>
    <xf numFmtId="0" fontId="24" fillId="5" borderId="22" xfId="4" applyFont="1" applyFill="1" applyBorder="1" applyAlignment="1">
      <alignment horizontal="left"/>
    </xf>
    <xf numFmtId="0" fontId="24" fillId="21" borderId="22" xfId="4" applyFont="1" applyFill="1" applyBorder="1" applyAlignment="1">
      <alignment horizontal="left"/>
    </xf>
    <xf numFmtId="0" fontId="24" fillId="13" borderId="22" xfId="4" applyFont="1" applyFill="1" applyBorder="1" applyAlignment="1">
      <alignment horizontal="left"/>
    </xf>
    <xf numFmtId="0" fontId="24" fillId="15" borderId="22" xfId="4" applyFont="1" applyFill="1" applyBorder="1" applyAlignment="1">
      <alignment horizontal="left"/>
    </xf>
    <xf numFmtId="0" fontId="15" fillId="35" borderId="0" xfId="4" applyFont="1" applyFill="1" applyAlignment="1">
      <alignment vertical="center"/>
    </xf>
    <xf numFmtId="0" fontId="9" fillId="35" borderId="0" xfId="4" applyFont="1" applyFill="1"/>
    <xf numFmtId="0" fontId="5" fillId="19" borderId="27" xfId="4" applyFont="1" applyFill="1" applyBorder="1" applyAlignment="1">
      <alignment horizontal="center" vertical="center"/>
    </xf>
    <xf numFmtId="0" fontId="8" fillId="20" borderId="35" xfId="2" applyFont="1" applyFill="1" applyBorder="1" applyAlignment="1" applyProtection="1">
      <alignment horizontal="center" vertical="center"/>
      <protection locked="0"/>
    </xf>
    <xf numFmtId="0" fontId="8" fillId="20" borderId="36" xfId="2" applyFont="1" applyFill="1" applyBorder="1" applyAlignment="1" applyProtection="1">
      <alignment horizontal="center" vertical="center"/>
      <protection locked="0"/>
    </xf>
    <xf numFmtId="0" fontId="8" fillId="27" borderId="9" xfId="0" applyFont="1" applyFill="1" applyBorder="1" applyAlignment="1" applyProtection="1">
      <alignment horizontal="center" vertical="center"/>
      <protection locked="0"/>
    </xf>
    <xf numFmtId="170" fontId="5" fillId="30" borderId="38" xfId="4" quotePrefix="1" applyNumberFormat="1" applyFont="1" applyFill="1" applyBorder="1" applyAlignment="1">
      <alignment horizontal="center" vertical="center"/>
    </xf>
    <xf numFmtId="171" fontId="5" fillId="15" borderId="27" xfId="4" applyNumberFormat="1" applyFont="1" applyFill="1" applyBorder="1" applyAlignment="1">
      <alignment horizontal="center" vertical="center"/>
    </xf>
    <xf numFmtId="172" fontId="5" fillId="15" borderId="27" xfId="4" applyNumberFormat="1" applyFont="1" applyFill="1" applyBorder="1" applyAlignment="1">
      <alignment horizontal="center" vertical="center"/>
    </xf>
    <xf numFmtId="0" fontId="35" fillId="4" borderId="0" xfId="4" applyFont="1" applyFill="1" applyAlignment="1">
      <alignment horizontal="center"/>
    </xf>
    <xf numFmtId="0" fontId="6" fillId="4" borderId="0" xfId="4" applyFont="1" applyFill="1" applyAlignment="1">
      <alignment horizontal="right"/>
    </xf>
    <xf numFmtId="0" fontId="6" fillId="4" borderId="0" xfId="4" applyFont="1" applyFill="1" applyAlignment="1">
      <alignment horizontal="center"/>
    </xf>
    <xf numFmtId="173" fontId="6" fillId="4" borderId="0" xfId="4" applyNumberFormat="1" applyFont="1" applyFill="1" applyAlignment="1">
      <alignment horizontal="center"/>
    </xf>
    <xf numFmtId="0" fontId="36" fillId="4" borderId="0" xfId="4" applyFont="1" applyFill="1" applyAlignment="1">
      <alignment horizontal="center"/>
    </xf>
    <xf numFmtId="173" fontId="36" fillId="4" borderId="0" xfId="4" applyNumberFormat="1" applyFont="1" applyFill="1" applyAlignment="1">
      <alignment horizontal="center"/>
    </xf>
    <xf numFmtId="0" fontId="17" fillId="4" borderId="0" xfId="4" applyFont="1" applyFill="1" applyAlignment="1">
      <alignment horizontal="right"/>
    </xf>
    <xf numFmtId="1" fontId="37" fillId="4" borderId="0" xfId="4" applyNumberFormat="1" applyFont="1" applyFill="1" applyAlignment="1">
      <alignment horizontal="right"/>
    </xf>
    <xf numFmtId="0" fontId="37" fillId="4" borderId="0" xfId="4" applyFont="1" applyFill="1" applyAlignment="1">
      <alignment horizontal="right"/>
    </xf>
    <xf numFmtId="170" fontId="17" fillId="4" borderId="0" xfId="4" applyNumberFormat="1" applyFont="1" applyFill="1" applyAlignment="1">
      <alignment horizontal="center"/>
    </xf>
    <xf numFmtId="170" fontId="24" fillId="15" borderId="0" xfId="4" applyNumberFormat="1" applyFont="1" applyFill="1" applyAlignment="1">
      <alignment horizontal="center" vertical="center"/>
    </xf>
    <xf numFmtId="0" fontId="24" fillId="15" borderId="0" xfId="4" applyFont="1" applyFill="1" applyAlignment="1">
      <alignment horizontal="left" vertical="center"/>
    </xf>
    <xf numFmtId="170" fontId="17" fillId="15" borderId="0" xfId="4" applyNumberFormat="1" applyFont="1" applyFill="1" applyAlignment="1">
      <alignment horizontal="center"/>
    </xf>
    <xf numFmtId="170" fontId="37" fillId="15" borderId="0" xfId="4" applyNumberFormat="1" applyFont="1" applyFill="1" applyAlignment="1">
      <alignment horizontal="center"/>
    </xf>
    <xf numFmtId="170" fontId="8" fillId="15" borderId="10" xfId="4" applyNumberFormat="1" applyFont="1" applyFill="1" applyBorder="1" applyAlignment="1">
      <alignment horizontal="center" vertical="center"/>
    </xf>
    <xf numFmtId="170" fontId="17" fillId="15" borderId="0" xfId="4" applyNumberFormat="1" applyFont="1" applyFill="1" applyAlignment="1">
      <alignment horizontal="center" vertical="center"/>
    </xf>
    <xf numFmtId="0" fontId="37" fillId="4" borderId="0" xfId="4" applyFont="1" applyFill="1" applyAlignment="1">
      <alignment horizontal="right" vertical="center"/>
    </xf>
    <xf numFmtId="170" fontId="8" fillId="15" borderId="31" xfId="4" applyNumberFormat="1" applyFont="1" applyFill="1" applyBorder="1" applyAlignment="1">
      <alignment vertical="center"/>
    </xf>
    <xf numFmtId="16" fontId="8" fillId="27" borderId="9" xfId="0" applyNumberFormat="1" applyFont="1" applyFill="1" applyBorder="1" applyAlignment="1" applyProtection="1">
      <alignment horizontal="center" vertical="center"/>
      <protection locked="0"/>
    </xf>
    <xf numFmtId="0" fontId="8" fillId="25" borderId="35" xfId="2" applyFont="1" applyFill="1" applyBorder="1" applyAlignment="1" applyProtection="1">
      <alignment horizontal="center" vertical="center"/>
      <protection locked="0"/>
    </xf>
    <xf numFmtId="0" fontId="8" fillId="25" borderId="36" xfId="2" applyFont="1" applyFill="1" applyBorder="1" applyAlignment="1" applyProtection="1">
      <alignment horizontal="center" vertical="center"/>
      <protection locked="0"/>
    </xf>
    <xf numFmtId="0" fontId="8" fillId="14" borderId="35" xfId="2" applyFont="1" applyFill="1" applyBorder="1" applyAlignment="1" applyProtection="1">
      <alignment horizontal="center" vertical="center"/>
      <protection locked="0"/>
    </xf>
    <xf numFmtId="0" fontId="8" fillId="16" borderId="35" xfId="2" applyFont="1" applyFill="1" applyBorder="1" applyAlignment="1" applyProtection="1">
      <alignment horizontal="center" vertical="center"/>
      <protection locked="0"/>
    </xf>
    <xf numFmtId="0" fontId="5" fillId="5" borderId="1" xfId="8" applyFont="1" applyFill="1" applyBorder="1" applyAlignment="1" applyProtection="1">
      <alignment horizontal="right" vertical="center"/>
      <protection locked="0"/>
    </xf>
    <xf numFmtId="0" fontId="5" fillId="5" borderId="1" xfId="8" applyFont="1" applyFill="1" applyBorder="1" applyAlignment="1" applyProtection="1">
      <alignment horizontal="center" vertical="center"/>
      <protection locked="0"/>
    </xf>
    <xf numFmtId="170" fontId="5" fillId="5" borderId="1" xfId="8" applyNumberFormat="1" applyFont="1" applyFill="1" applyBorder="1" applyAlignment="1" applyProtection="1">
      <alignment horizontal="center" vertical="center"/>
      <protection locked="0"/>
    </xf>
    <xf numFmtId="0" fontId="23" fillId="33" borderId="1" xfId="8" applyFont="1" applyFill="1" applyBorder="1" applyAlignment="1" applyProtection="1">
      <alignment horizontal="right" vertical="center"/>
      <protection locked="0"/>
    </xf>
    <xf numFmtId="0" fontId="17" fillId="5" borderId="1" xfId="0" applyFont="1" applyFill="1" applyBorder="1" applyAlignment="1" applyProtection="1">
      <alignment horizontal="center" vertical="center" wrapText="1"/>
      <protection locked="0"/>
    </xf>
    <xf numFmtId="0" fontId="34" fillId="37" borderId="1" xfId="0" applyFont="1" applyFill="1" applyBorder="1" applyAlignment="1" applyProtection="1">
      <alignment horizontal="center" vertical="center" wrapText="1"/>
      <protection locked="0"/>
    </xf>
    <xf numFmtId="0" fontId="17" fillId="5" borderId="27" xfId="0" applyFont="1" applyFill="1" applyBorder="1" applyAlignment="1" applyProtection="1">
      <alignment horizontal="center" vertical="center" wrapText="1"/>
      <protection locked="0"/>
    </xf>
    <xf numFmtId="0" fontId="17" fillId="27" borderId="8" xfId="0" applyFont="1" applyFill="1" applyBorder="1" applyAlignment="1" applyProtection="1">
      <alignment horizontal="center" vertical="center" wrapText="1"/>
      <protection locked="0"/>
    </xf>
    <xf numFmtId="0" fontId="17" fillId="27" borderId="9" xfId="0" applyFont="1" applyFill="1" applyBorder="1" applyAlignment="1" applyProtection="1">
      <alignment horizontal="center" vertical="center" wrapText="1"/>
      <protection locked="0"/>
    </xf>
    <xf numFmtId="0" fontId="17" fillId="27" borderId="44" xfId="0" applyFont="1" applyFill="1" applyBorder="1" applyAlignment="1" applyProtection="1">
      <alignment horizontal="center" vertical="center" wrapText="1"/>
      <protection locked="0"/>
    </xf>
    <xf numFmtId="0" fontId="8" fillId="27" borderId="44" xfId="0" applyFont="1" applyFill="1" applyBorder="1" applyAlignment="1" applyProtection="1">
      <alignment horizontal="center" vertical="center"/>
      <protection locked="0"/>
    </xf>
    <xf numFmtId="0" fontId="8" fillId="20" borderId="50" xfId="2" applyFont="1" applyFill="1" applyBorder="1" applyAlignment="1" applyProtection="1">
      <alignment horizontal="center" vertical="center"/>
      <protection locked="0"/>
    </xf>
    <xf numFmtId="0" fontId="17" fillId="5" borderId="26" xfId="0" applyFont="1" applyFill="1" applyBorder="1" applyAlignment="1" applyProtection="1">
      <alignment horizontal="center" vertical="center" wrapText="1"/>
      <protection locked="0"/>
    </xf>
    <xf numFmtId="0" fontId="17" fillId="5" borderId="19" xfId="0" applyFont="1" applyFill="1" applyBorder="1" applyAlignment="1" applyProtection="1">
      <alignment horizontal="center" vertical="center" wrapText="1"/>
      <protection locked="0"/>
    </xf>
    <xf numFmtId="0" fontId="17" fillId="5" borderId="20" xfId="0" applyFont="1" applyFill="1" applyBorder="1" applyAlignment="1" applyProtection="1">
      <alignment horizontal="center" vertical="center" wrapText="1"/>
      <protection locked="0"/>
    </xf>
    <xf numFmtId="0" fontId="17" fillId="5" borderId="23" xfId="0" applyFont="1" applyFill="1" applyBorder="1" applyAlignment="1" applyProtection="1">
      <alignment horizontal="center" vertical="center" wrapText="1"/>
      <protection locked="0"/>
    </xf>
    <xf numFmtId="170" fontId="5" fillId="25" borderId="51" xfId="4" applyNumberFormat="1" applyFont="1" applyFill="1" applyBorder="1" applyAlignment="1">
      <alignment horizontal="center" vertical="center"/>
    </xf>
    <xf numFmtId="170" fontId="5" fillId="25" borderId="52" xfId="4" applyNumberFormat="1" applyFont="1" applyFill="1" applyBorder="1" applyAlignment="1">
      <alignment horizontal="center" vertical="center"/>
    </xf>
    <xf numFmtId="170" fontId="8" fillId="35" borderId="13" xfId="4" applyNumberFormat="1" applyFont="1" applyFill="1" applyBorder="1" applyAlignment="1">
      <alignment horizontal="center" vertical="center"/>
    </xf>
    <xf numFmtId="0" fontId="5" fillId="16" borderId="29" xfId="4" applyFont="1" applyFill="1" applyBorder="1" applyAlignment="1">
      <alignment vertical="center"/>
    </xf>
    <xf numFmtId="0" fontId="5" fillId="16" borderId="30" xfId="4" applyFont="1" applyFill="1" applyBorder="1" applyAlignment="1">
      <alignment vertical="center"/>
    </xf>
    <xf numFmtId="0" fontId="5" fillId="16" borderId="0" xfId="4" applyFont="1" applyFill="1" applyAlignment="1">
      <alignment vertical="center"/>
    </xf>
    <xf numFmtId="0" fontId="5" fillId="16" borderId="42" xfId="4" applyFont="1" applyFill="1" applyBorder="1" applyAlignment="1">
      <alignment vertical="center"/>
    </xf>
    <xf numFmtId="0" fontId="24" fillId="30" borderId="5" xfId="4" applyFont="1" applyFill="1" applyBorder="1" applyAlignment="1">
      <alignment horizontal="center" vertical="center"/>
    </xf>
    <xf numFmtId="0" fontId="8" fillId="30" borderId="5" xfId="4" applyFont="1" applyFill="1" applyBorder="1" applyAlignment="1">
      <alignment horizontal="center" vertical="center"/>
    </xf>
    <xf numFmtId="172" fontId="6" fillId="15" borderId="54" xfId="4" applyNumberFormat="1" applyFont="1" applyFill="1" applyBorder="1" applyAlignment="1">
      <alignment horizontal="center" vertical="center"/>
    </xf>
    <xf numFmtId="172" fontId="36" fillId="15" borderId="54" xfId="4" applyNumberFormat="1" applyFont="1" applyFill="1" applyBorder="1" applyAlignment="1">
      <alignment horizontal="center" vertical="center"/>
    </xf>
    <xf numFmtId="170" fontId="17" fillId="15" borderId="54" xfId="4" applyNumberFormat="1" applyFont="1" applyFill="1" applyBorder="1" applyAlignment="1">
      <alignment horizontal="center" vertical="center"/>
    </xf>
    <xf numFmtId="1" fontId="17" fillId="16" borderId="49" xfId="4" applyNumberFormat="1" applyFont="1" applyFill="1" applyBorder="1" applyAlignment="1">
      <alignment horizontal="right" vertical="center"/>
    </xf>
    <xf numFmtId="1" fontId="37" fillId="16" borderId="49" xfId="4" applyNumberFormat="1" applyFont="1" applyFill="1" applyBorder="1" applyAlignment="1">
      <alignment horizontal="right" vertical="center"/>
    </xf>
    <xf numFmtId="0" fontId="17" fillId="30" borderId="33" xfId="4" applyFont="1" applyFill="1" applyBorder="1" applyAlignment="1">
      <alignment horizontal="right" vertical="center"/>
    </xf>
    <xf numFmtId="172" fontId="6" fillId="30" borderId="16" xfId="4" applyNumberFormat="1" applyFont="1" applyFill="1" applyBorder="1" applyAlignment="1">
      <alignment horizontal="center" vertical="center"/>
    </xf>
    <xf numFmtId="0" fontId="37" fillId="30" borderId="33" xfId="4" applyFont="1" applyFill="1" applyBorder="1" applyAlignment="1">
      <alignment horizontal="right" vertical="center"/>
    </xf>
    <xf numFmtId="172" fontId="36" fillId="30" borderId="16" xfId="4" applyNumberFormat="1" applyFont="1" applyFill="1" applyBorder="1" applyAlignment="1">
      <alignment horizontal="center" vertical="center"/>
    </xf>
    <xf numFmtId="170" fontId="17" fillId="30" borderId="16" xfId="4" applyNumberFormat="1" applyFont="1" applyFill="1" applyBorder="1" applyAlignment="1">
      <alignment horizontal="center" vertical="center"/>
    </xf>
    <xf numFmtId="0" fontId="24" fillId="30" borderId="5" xfId="4" applyFont="1" applyFill="1" applyBorder="1" applyAlignment="1">
      <alignment horizontal="left" vertical="center"/>
    </xf>
    <xf numFmtId="0" fontId="8" fillId="30" borderId="5" xfId="4" applyFont="1" applyFill="1" applyBorder="1" applyAlignment="1">
      <alignment horizontal="left" vertical="center"/>
    </xf>
    <xf numFmtId="1" fontId="17" fillId="15" borderId="12" xfId="4" applyNumberFormat="1" applyFont="1" applyFill="1" applyBorder="1" applyAlignment="1">
      <alignment horizontal="right" vertical="center"/>
    </xf>
    <xf numFmtId="1" fontId="37" fillId="15" borderId="12" xfId="4" applyNumberFormat="1" applyFont="1" applyFill="1" applyBorder="1" applyAlignment="1">
      <alignment horizontal="right" vertical="center"/>
    </xf>
    <xf numFmtId="172" fontId="6" fillId="16" borderId="53" xfId="4" applyNumberFormat="1" applyFont="1" applyFill="1" applyBorder="1" applyAlignment="1">
      <alignment horizontal="center" vertical="center"/>
    </xf>
    <xf numFmtId="172" fontId="36" fillId="16" borderId="53" xfId="4" applyNumberFormat="1" applyFont="1" applyFill="1" applyBorder="1" applyAlignment="1">
      <alignment horizontal="center" vertical="center"/>
    </xf>
    <xf numFmtId="170" fontId="17" fillId="16" borderId="53" xfId="4" applyNumberFormat="1" applyFont="1" applyFill="1" applyBorder="1" applyAlignment="1">
      <alignment horizontal="center" vertical="center"/>
    </xf>
    <xf numFmtId="1" fontId="17" fillId="16" borderId="8" xfId="4" applyNumberFormat="1" applyFont="1" applyFill="1" applyBorder="1" applyAlignment="1">
      <alignment horizontal="right" vertical="center"/>
    </xf>
    <xf numFmtId="170" fontId="6" fillId="16" borderId="44" xfId="4" applyNumberFormat="1" applyFont="1" applyFill="1" applyBorder="1" applyAlignment="1">
      <alignment horizontal="center" vertical="center"/>
    </xf>
    <xf numFmtId="170" fontId="36" fillId="16" borderId="44" xfId="4" applyNumberFormat="1" applyFont="1" applyFill="1" applyBorder="1" applyAlignment="1">
      <alignment horizontal="center" vertical="center"/>
    </xf>
    <xf numFmtId="1" fontId="37" fillId="16" borderId="8" xfId="4" applyNumberFormat="1" applyFont="1" applyFill="1" applyBorder="1" applyAlignment="1">
      <alignment horizontal="right" vertical="center"/>
    </xf>
    <xf numFmtId="170" fontId="37" fillId="16" borderId="44" xfId="4" applyNumberFormat="1" applyFont="1" applyFill="1" applyBorder="1" applyAlignment="1">
      <alignment horizontal="center" vertical="center"/>
    </xf>
    <xf numFmtId="172" fontId="9" fillId="16" borderId="44" xfId="4" applyNumberFormat="1" applyFont="1" applyFill="1" applyBorder="1" applyAlignment="1">
      <alignment vertical="center"/>
    </xf>
    <xf numFmtId="170" fontId="17" fillId="16" borderId="44" xfId="4" applyNumberFormat="1" applyFont="1" applyFill="1" applyBorder="1" applyAlignment="1">
      <alignment horizontal="center" vertical="center"/>
    </xf>
    <xf numFmtId="172" fontId="24" fillId="30" borderId="2" xfId="4" applyNumberFormat="1" applyFont="1" applyFill="1" applyBorder="1" applyAlignment="1">
      <alignment horizontal="center" vertical="center"/>
    </xf>
    <xf numFmtId="174" fontId="8" fillId="30" borderId="2" xfId="4" applyNumberFormat="1" applyFont="1" applyFill="1" applyBorder="1" applyAlignment="1">
      <alignment horizontal="center" vertical="center"/>
    </xf>
    <xf numFmtId="170" fontId="24" fillId="30" borderId="2" xfId="4" applyNumberFormat="1" applyFont="1" applyFill="1" applyBorder="1" applyAlignment="1">
      <alignment horizontal="center" vertical="center"/>
    </xf>
    <xf numFmtId="170" fontId="8" fillId="30" borderId="2" xfId="4" applyNumberFormat="1" applyFont="1" applyFill="1" applyBorder="1" applyAlignment="1">
      <alignment horizontal="center" vertical="center"/>
    </xf>
    <xf numFmtId="0" fontId="0" fillId="0" borderId="4" xfId="0" applyFill="1" applyBorder="1" applyAlignment="1"/>
    <xf numFmtId="0" fontId="0" fillId="0" borderId="13" xfId="0" applyFill="1" applyBorder="1" applyAlignment="1"/>
    <xf numFmtId="0" fontId="8" fillId="4" borderId="0" xfId="1" applyFont="1" applyFill="1" applyAlignment="1">
      <alignment horizontal="center"/>
    </xf>
    <xf numFmtId="0" fontId="17" fillId="4" borderId="0" xfId="0" applyFont="1" applyFill="1" applyAlignment="1">
      <alignment horizontal="center" vertical="center"/>
    </xf>
    <xf numFmtId="0" fontId="17" fillId="4" borderId="29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7" fillId="13" borderId="2" xfId="0" applyFont="1" applyFill="1" applyBorder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0" fillId="0" borderId="11" xfId="0" applyFill="1" applyBorder="1" applyAlignment="1"/>
    <xf numFmtId="0" fontId="0" fillId="0" borderId="45" xfId="0" applyFill="1" applyBorder="1" applyAlignment="1"/>
    <xf numFmtId="0" fontId="8" fillId="6" borderId="3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 wrapText="1"/>
    </xf>
    <xf numFmtId="167" fontId="17" fillId="4" borderId="0" xfId="0" applyNumberFormat="1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4" fontId="17" fillId="4" borderId="0" xfId="0" applyNumberFormat="1" applyFont="1" applyFill="1" applyAlignment="1">
      <alignment horizontal="center" vertical="center"/>
    </xf>
    <xf numFmtId="0" fontId="5" fillId="4" borderId="0" xfId="8" applyFont="1" applyFill="1"/>
    <xf numFmtId="0" fontId="5" fillId="4" borderId="0" xfId="8" applyFont="1" applyFill="1" applyAlignment="1">
      <alignment horizontal="center" vertical="center"/>
    </xf>
    <xf numFmtId="170" fontId="5" fillId="4" borderId="0" xfId="8" applyNumberFormat="1" applyFont="1" applyFill="1"/>
    <xf numFmtId="170" fontId="5" fillId="4" borderId="0" xfId="8" applyNumberFormat="1" applyFont="1" applyFill="1" applyAlignment="1">
      <alignment horizontal="center" vertical="center"/>
    </xf>
    <xf numFmtId="0" fontId="9" fillId="4" borderId="0" xfId="8" applyFont="1" applyFill="1" applyAlignment="1">
      <alignment horizontal="right"/>
    </xf>
    <xf numFmtId="0" fontId="6" fillId="4" borderId="0" xfId="8" applyFont="1" applyFill="1" applyAlignment="1">
      <alignment horizontal="center"/>
    </xf>
    <xf numFmtId="170" fontId="6" fillId="4" borderId="0" xfId="8" applyNumberFormat="1" applyFont="1" applyFill="1" applyAlignment="1">
      <alignment vertical="center"/>
    </xf>
    <xf numFmtId="0" fontId="7" fillId="4" borderId="0" xfId="8" applyFont="1" applyFill="1" applyAlignment="1">
      <alignment vertical="center"/>
    </xf>
    <xf numFmtId="0" fontId="7" fillId="4" borderId="0" xfId="8" applyFont="1" applyFill="1" applyAlignment="1">
      <alignment horizontal="center" vertical="center"/>
    </xf>
    <xf numFmtId="170" fontId="15" fillId="4" borderId="0" xfId="8" applyNumberFormat="1" applyFont="1" applyFill="1" applyAlignment="1">
      <alignment vertical="center"/>
    </xf>
    <xf numFmtId="0" fontId="9" fillId="4" borderId="0" xfId="8" applyFont="1" applyFill="1"/>
    <xf numFmtId="0" fontId="14" fillId="4" borderId="0" xfId="8" applyFont="1" applyFill="1" applyAlignment="1">
      <alignment horizontal="center"/>
    </xf>
    <xf numFmtId="0" fontId="11" fillId="4" borderId="0" xfId="8" applyFont="1" applyFill="1"/>
    <xf numFmtId="0" fontId="8" fillId="8" borderId="3" xfId="8" applyFont="1" applyFill="1" applyBorder="1" applyAlignment="1">
      <alignment vertical="center"/>
    </xf>
    <xf numFmtId="0" fontId="6" fillId="8" borderId="4" xfId="8" applyFont="1" applyFill="1" applyBorder="1" applyAlignment="1">
      <alignment horizontal="center" vertical="center"/>
    </xf>
    <xf numFmtId="170" fontId="6" fillId="8" borderId="4" xfId="8" applyNumberFormat="1" applyFont="1" applyFill="1" applyBorder="1" applyAlignment="1">
      <alignment horizontal="center" vertical="center"/>
    </xf>
    <xf numFmtId="170" fontId="6" fillId="8" borderId="5" xfId="8" applyNumberFormat="1" applyFont="1" applyFill="1" applyBorder="1" applyAlignment="1">
      <alignment horizontal="center" vertical="center"/>
    </xf>
    <xf numFmtId="0" fontId="14" fillId="4" borderId="0" xfId="8" applyFont="1" applyFill="1" applyAlignment="1">
      <alignment horizontal="right"/>
    </xf>
    <xf numFmtId="1" fontId="5" fillId="15" borderId="7" xfId="8" applyNumberFormat="1" applyFont="1" applyFill="1" applyBorder="1" applyAlignment="1">
      <alignment horizontal="right" vertical="center"/>
    </xf>
    <xf numFmtId="170" fontId="5" fillId="15" borderId="27" xfId="8" applyNumberFormat="1" applyFont="1" applyFill="1" applyBorder="1" applyAlignment="1">
      <alignment horizontal="center" vertical="center"/>
    </xf>
    <xf numFmtId="170" fontId="5" fillId="15" borderId="26" xfId="8" applyNumberFormat="1" applyFont="1" applyFill="1" applyBorder="1" applyAlignment="1">
      <alignment horizontal="center" vertical="center"/>
    </xf>
    <xf numFmtId="0" fontId="14" fillId="8" borderId="0" xfId="8" applyFont="1" applyFill="1" applyAlignment="1">
      <alignment horizontal="right"/>
    </xf>
    <xf numFmtId="170" fontId="14" fillId="8" borderId="0" xfId="8" applyNumberFormat="1" applyFont="1" applyFill="1" applyAlignment="1">
      <alignment horizontal="center"/>
    </xf>
    <xf numFmtId="170" fontId="6" fillId="8" borderId="0" xfId="8" applyNumberFormat="1" applyFont="1" applyFill="1" applyAlignment="1">
      <alignment horizontal="center"/>
    </xf>
    <xf numFmtId="170" fontId="5" fillId="9" borderId="1" xfId="8" applyNumberFormat="1" applyFont="1" applyFill="1" applyBorder="1" applyAlignment="1">
      <alignment horizontal="center" vertical="center"/>
    </xf>
    <xf numFmtId="170" fontId="5" fillId="16" borderId="26" xfId="8" applyNumberFormat="1" applyFont="1" applyFill="1" applyBorder="1" applyAlignment="1">
      <alignment horizontal="center" vertical="center"/>
    </xf>
    <xf numFmtId="0" fontId="14" fillId="7" borderId="0" xfId="8" applyFont="1" applyFill="1" applyAlignment="1">
      <alignment horizontal="right"/>
    </xf>
    <xf numFmtId="0" fontId="14" fillId="7" borderId="0" xfId="8" applyFont="1" applyFill="1" applyAlignment="1">
      <alignment horizontal="center"/>
    </xf>
    <xf numFmtId="0" fontId="6" fillId="7" borderId="0" xfId="8" applyFont="1" applyFill="1" applyAlignment="1">
      <alignment horizontal="center"/>
    </xf>
    <xf numFmtId="170" fontId="5" fillId="15" borderId="1" xfId="8" applyNumberFormat="1" applyFont="1" applyFill="1" applyBorder="1" applyAlignment="1">
      <alignment horizontal="center" vertical="center"/>
    </xf>
    <xf numFmtId="0" fontId="14" fillId="15" borderId="0" xfId="8" applyFont="1" applyFill="1" applyAlignment="1">
      <alignment horizontal="right"/>
    </xf>
    <xf numFmtId="0" fontId="14" fillId="15" borderId="0" xfId="8" applyFont="1" applyFill="1" applyAlignment="1">
      <alignment horizontal="center"/>
    </xf>
    <xf numFmtId="0" fontId="6" fillId="15" borderId="0" xfId="8" applyFont="1" applyFill="1" applyAlignment="1">
      <alignment horizontal="center"/>
    </xf>
    <xf numFmtId="1" fontId="8" fillId="9" borderId="22" xfId="8" applyNumberFormat="1" applyFont="1" applyFill="1" applyBorder="1" applyAlignment="1">
      <alignment horizontal="right" vertical="center"/>
    </xf>
    <xf numFmtId="0" fontId="14" fillId="16" borderId="0" xfId="8" applyFont="1" applyFill="1" applyAlignment="1">
      <alignment horizontal="right" vertical="center"/>
    </xf>
    <xf numFmtId="170" fontId="14" fillId="16" borderId="0" xfId="8" applyNumberFormat="1" applyFont="1" applyFill="1" applyAlignment="1">
      <alignment horizontal="center" vertical="center"/>
    </xf>
    <xf numFmtId="170" fontId="6" fillId="16" borderId="0" xfId="8" applyNumberFormat="1" applyFont="1" applyFill="1" applyAlignment="1">
      <alignment horizontal="center" vertical="center"/>
    </xf>
    <xf numFmtId="0" fontId="14" fillId="15" borderId="0" xfId="8" applyFont="1" applyFill="1" applyAlignment="1">
      <alignment horizontal="right" vertical="center"/>
    </xf>
    <xf numFmtId="170" fontId="14" fillId="15" borderId="0" xfId="8" applyNumberFormat="1" applyFont="1" applyFill="1" applyAlignment="1">
      <alignment horizontal="center" vertical="center"/>
    </xf>
    <xf numFmtId="170" fontId="6" fillId="15" borderId="0" xfId="8" applyNumberFormat="1" applyFont="1" applyFill="1" applyAlignment="1">
      <alignment horizontal="center" vertical="center"/>
    </xf>
    <xf numFmtId="170" fontId="8" fillId="8" borderId="2" xfId="8" applyNumberFormat="1" applyFont="1" applyFill="1" applyBorder="1" applyAlignment="1">
      <alignment horizontal="center" vertical="center"/>
    </xf>
    <xf numFmtId="166" fontId="14" fillId="4" borderId="0" xfId="8" applyNumberFormat="1" applyFont="1" applyFill="1" applyAlignment="1">
      <alignment horizontal="right" vertical="center"/>
    </xf>
    <xf numFmtId="166" fontId="14" fillId="4" borderId="0" xfId="8" applyNumberFormat="1" applyFont="1" applyFill="1" applyAlignment="1">
      <alignment horizontal="center"/>
    </xf>
    <xf numFmtId="0" fontId="8" fillId="4" borderId="0" xfId="8" applyFont="1" applyFill="1" applyAlignment="1">
      <alignment horizontal="right" vertical="center"/>
    </xf>
    <xf numFmtId="165" fontId="12" fillId="4" borderId="0" xfId="8" applyNumberFormat="1" applyFont="1" applyFill="1" applyAlignment="1">
      <alignment horizontal="center" vertical="center"/>
    </xf>
    <xf numFmtId="170" fontId="5" fillId="4" borderId="0" xfId="8" applyNumberFormat="1" applyFont="1" applyFill="1" applyAlignment="1">
      <alignment horizontal="center"/>
    </xf>
    <xf numFmtId="0" fontId="8" fillId="21" borderId="3" xfId="8" applyFont="1" applyFill="1" applyBorder="1" applyAlignment="1">
      <alignment vertical="center"/>
    </xf>
    <xf numFmtId="0" fontId="6" fillId="21" borderId="4" xfId="8" applyFont="1" applyFill="1" applyBorder="1" applyAlignment="1">
      <alignment horizontal="center" vertical="center"/>
    </xf>
    <xf numFmtId="170" fontId="6" fillId="21" borderId="4" xfId="8" applyNumberFormat="1" applyFont="1" applyFill="1" applyBorder="1" applyAlignment="1">
      <alignment horizontal="center" vertical="center"/>
    </xf>
    <xf numFmtId="170" fontId="6" fillId="21" borderId="2" xfId="8" applyNumberFormat="1" applyFont="1" applyFill="1" applyBorder="1" applyAlignment="1">
      <alignment horizontal="center" vertical="center"/>
    </xf>
    <xf numFmtId="170" fontId="5" fillId="18" borderId="11" xfId="8" applyNumberFormat="1" applyFont="1" applyFill="1" applyBorder="1" applyAlignment="1">
      <alignment horizontal="center" vertical="center"/>
    </xf>
    <xf numFmtId="170" fontId="5" fillId="18" borderId="17" xfId="8" applyNumberFormat="1" applyFont="1" applyFill="1" applyBorder="1" applyAlignment="1">
      <alignment horizontal="center" vertical="center"/>
    </xf>
    <xf numFmtId="170" fontId="8" fillId="21" borderId="2" xfId="8" applyNumberFormat="1" applyFont="1" applyFill="1" applyBorder="1" applyAlignment="1">
      <alignment horizontal="center" vertical="center"/>
    </xf>
    <xf numFmtId="0" fontId="8" fillId="10" borderId="28" xfId="8" applyFont="1" applyFill="1" applyBorder="1" applyAlignment="1">
      <alignment vertical="center"/>
    </xf>
    <xf numFmtId="0" fontId="6" fillId="10" borderId="29" xfId="8" applyFont="1" applyFill="1" applyBorder="1" applyAlignment="1">
      <alignment horizontal="center" vertical="center"/>
    </xf>
    <xf numFmtId="170" fontId="6" fillId="10" borderId="6" xfId="8" applyNumberFormat="1" applyFont="1" applyFill="1" applyBorder="1" applyAlignment="1">
      <alignment horizontal="center" vertical="center"/>
    </xf>
    <xf numFmtId="170" fontId="5" fillId="33" borderId="1" xfId="8" applyNumberFormat="1" applyFont="1" applyFill="1" applyBorder="1" applyAlignment="1">
      <alignment horizontal="center"/>
    </xf>
    <xf numFmtId="170" fontId="5" fillId="5" borderId="1" xfId="8" applyNumberFormat="1" applyFont="1" applyFill="1" applyBorder="1" applyAlignment="1">
      <alignment horizontal="center" vertical="center"/>
    </xf>
    <xf numFmtId="170" fontId="8" fillId="10" borderId="10" xfId="8" applyNumberFormat="1" applyFont="1" applyFill="1" applyBorder="1" applyAlignment="1">
      <alignment horizontal="center" vertical="center"/>
    </xf>
    <xf numFmtId="0" fontId="8" fillId="11" borderId="3" xfId="8" applyFont="1" applyFill="1" applyBorder="1" applyAlignment="1">
      <alignment vertical="center"/>
    </xf>
    <xf numFmtId="0" fontId="6" fillId="11" borderId="4" xfId="8" applyFont="1" applyFill="1" applyBorder="1" applyAlignment="1">
      <alignment horizontal="center" vertical="center"/>
    </xf>
    <xf numFmtId="170" fontId="6" fillId="11" borderId="4" xfId="8" applyNumberFormat="1" applyFont="1" applyFill="1" applyBorder="1" applyAlignment="1">
      <alignment horizontal="center" vertical="center"/>
    </xf>
    <xf numFmtId="170" fontId="6" fillId="11" borderId="2" xfId="8" applyNumberFormat="1" applyFont="1" applyFill="1" applyBorder="1" applyAlignment="1">
      <alignment horizontal="center" vertical="center"/>
    </xf>
    <xf numFmtId="170" fontId="5" fillId="12" borderId="11" xfId="8" applyNumberFormat="1" applyFont="1" applyFill="1" applyBorder="1" applyAlignment="1">
      <alignment horizontal="center" vertical="center"/>
    </xf>
    <xf numFmtId="170" fontId="5" fillId="12" borderId="17" xfId="8" applyNumberFormat="1" applyFont="1" applyFill="1" applyBorder="1" applyAlignment="1">
      <alignment horizontal="center" vertical="center"/>
    </xf>
    <xf numFmtId="170" fontId="8" fillId="11" borderId="2" xfId="8" applyNumberFormat="1" applyFont="1" applyFill="1" applyBorder="1" applyAlignment="1">
      <alignment horizontal="center" vertical="center"/>
    </xf>
    <xf numFmtId="0" fontId="8" fillId="13" borderId="3" xfId="8" applyFont="1" applyFill="1" applyBorder="1" applyAlignment="1">
      <alignment vertical="center"/>
    </xf>
    <xf numFmtId="0" fontId="6" fillId="13" borderId="4" xfId="8" applyFont="1" applyFill="1" applyBorder="1" applyAlignment="1">
      <alignment horizontal="center" vertical="center"/>
    </xf>
    <xf numFmtId="170" fontId="6" fillId="13" borderId="4" xfId="8" applyNumberFormat="1" applyFont="1" applyFill="1" applyBorder="1" applyAlignment="1">
      <alignment horizontal="center" vertical="center"/>
    </xf>
    <xf numFmtId="170" fontId="6" fillId="13" borderId="2" xfId="8" applyNumberFormat="1" applyFont="1" applyFill="1" applyBorder="1" applyAlignment="1">
      <alignment horizontal="center" vertical="center"/>
    </xf>
    <xf numFmtId="0" fontId="6" fillId="4" borderId="0" xfId="8" applyFont="1" applyFill="1" applyAlignment="1">
      <alignment horizontal="center" vertical="center"/>
    </xf>
    <xf numFmtId="0" fontId="9" fillId="4" borderId="0" xfId="8" applyFont="1" applyFill="1" applyAlignment="1">
      <alignment horizontal="center"/>
    </xf>
    <xf numFmtId="170" fontId="5" fillId="14" borderId="11" xfId="8" applyNumberFormat="1" applyFont="1" applyFill="1" applyBorder="1" applyAlignment="1">
      <alignment horizontal="center" vertical="center"/>
    </xf>
    <xf numFmtId="170" fontId="5" fillId="14" borderId="17" xfId="8" applyNumberFormat="1" applyFont="1" applyFill="1" applyBorder="1" applyAlignment="1">
      <alignment horizontal="center" vertical="center"/>
    </xf>
    <xf numFmtId="0" fontId="8" fillId="4" borderId="0" xfId="8" applyFont="1" applyFill="1" applyAlignment="1">
      <alignment horizontal="center" vertical="center"/>
    </xf>
    <xf numFmtId="170" fontId="8" fillId="13" borderId="2" xfId="8" applyNumberFormat="1" applyFont="1" applyFill="1" applyBorder="1" applyAlignment="1">
      <alignment horizontal="center" vertical="center"/>
    </xf>
    <xf numFmtId="0" fontId="8" fillId="15" borderId="3" xfId="8" applyFont="1" applyFill="1" applyBorder="1" applyAlignment="1">
      <alignment vertical="center"/>
    </xf>
    <xf numFmtId="0" fontId="6" fillId="15" borderId="4" xfId="8" applyFont="1" applyFill="1" applyBorder="1" applyAlignment="1">
      <alignment horizontal="center" vertical="center"/>
    </xf>
    <xf numFmtId="170" fontId="6" fillId="15" borderId="4" xfId="8" applyNumberFormat="1" applyFont="1" applyFill="1" applyBorder="1" applyAlignment="1">
      <alignment horizontal="center" vertical="center"/>
    </xf>
    <xf numFmtId="170" fontId="6" fillId="15" borderId="2" xfId="8" applyNumberFormat="1" applyFont="1" applyFill="1" applyBorder="1" applyAlignment="1">
      <alignment horizontal="center" vertical="center"/>
    </xf>
    <xf numFmtId="170" fontId="5" fillId="16" borderId="11" xfId="8" applyNumberFormat="1" applyFont="1" applyFill="1" applyBorder="1" applyAlignment="1">
      <alignment horizontal="center" vertical="center"/>
    </xf>
    <xf numFmtId="170" fontId="5" fillId="16" borderId="17" xfId="8" applyNumberFormat="1" applyFont="1" applyFill="1" applyBorder="1" applyAlignment="1">
      <alignment horizontal="center" vertical="center"/>
    </xf>
    <xf numFmtId="170" fontId="8" fillId="15" borderId="2" xfId="8" applyNumberFormat="1" applyFont="1" applyFill="1" applyBorder="1" applyAlignment="1">
      <alignment horizontal="center" vertical="center"/>
    </xf>
    <xf numFmtId="0" fontId="8" fillId="22" borderId="3" xfId="8" applyFont="1" applyFill="1" applyBorder="1" applyAlignment="1">
      <alignment vertical="center"/>
    </xf>
    <xf numFmtId="0" fontId="6" fillId="22" borderId="4" xfId="8" applyFont="1" applyFill="1" applyBorder="1" applyAlignment="1">
      <alignment horizontal="center" vertical="center"/>
    </xf>
    <xf numFmtId="170" fontId="6" fillId="22" borderId="4" xfId="8" applyNumberFormat="1" applyFont="1" applyFill="1" applyBorder="1" applyAlignment="1">
      <alignment horizontal="center" vertical="center"/>
    </xf>
    <xf numFmtId="170" fontId="6" fillId="22" borderId="2" xfId="8" applyNumberFormat="1" applyFont="1" applyFill="1" applyBorder="1" applyAlignment="1">
      <alignment horizontal="center" vertical="center"/>
    </xf>
    <xf numFmtId="170" fontId="5" fillId="19" borderId="11" xfId="8" applyNumberFormat="1" applyFont="1" applyFill="1" applyBorder="1" applyAlignment="1">
      <alignment horizontal="center" vertical="center"/>
    </xf>
    <xf numFmtId="170" fontId="5" fillId="19" borderId="17" xfId="8" applyNumberFormat="1" applyFont="1" applyFill="1" applyBorder="1" applyAlignment="1">
      <alignment horizontal="center" vertical="center"/>
    </xf>
    <xf numFmtId="170" fontId="8" fillId="22" borderId="2" xfId="8" applyNumberFormat="1" applyFont="1" applyFill="1" applyBorder="1" applyAlignment="1">
      <alignment horizontal="center" vertical="center"/>
    </xf>
    <xf numFmtId="0" fontId="5" fillId="4" borderId="0" xfId="8" applyFont="1" applyFill="1" applyAlignment="1">
      <alignment horizontal="right" vertical="center"/>
    </xf>
    <xf numFmtId="0" fontId="5" fillId="4" borderId="0" xfId="8" applyFont="1" applyFill="1" applyAlignment="1">
      <alignment horizontal="center"/>
    </xf>
    <xf numFmtId="165" fontId="5" fillId="33" borderId="1" xfId="8" applyNumberFormat="1" applyFont="1" applyFill="1" applyBorder="1" applyAlignment="1" applyProtection="1">
      <alignment horizontal="right" vertical="center"/>
      <protection locked="0"/>
    </xf>
    <xf numFmtId="0" fontId="5" fillId="33" borderId="1" xfId="8" applyFont="1" applyFill="1" applyBorder="1" applyAlignment="1" applyProtection="1">
      <alignment horizontal="center" vertical="center"/>
      <protection locked="0"/>
    </xf>
    <xf numFmtId="170" fontId="5" fillId="33" borderId="1" xfId="8" applyNumberFormat="1" applyFont="1" applyFill="1" applyBorder="1" applyAlignment="1" applyProtection="1">
      <alignment horizontal="center" vertical="center"/>
      <protection locked="0"/>
    </xf>
    <xf numFmtId="0" fontId="0" fillId="0" borderId="0" xfId="0" applyFill="1" applyAlignment="1"/>
    <xf numFmtId="0" fontId="9" fillId="4" borderId="6" xfId="4" applyFont="1" applyFill="1" applyBorder="1" applyAlignment="1">
      <alignment horizontal="center"/>
    </xf>
    <xf numFmtId="0" fontId="6" fillId="25" borderId="2" xfId="4" applyFont="1" applyFill="1" applyBorder="1" applyAlignment="1">
      <alignment horizontal="center" vertical="center"/>
    </xf>
    <xf numFmtId="16" fontId="6" fillId="25" borderId="2" xfId="4" applyNumberFormat="1" applyFont="1" applyFill="1" applyBorder="1" applyAlignment="1">
      <alignment horizontal="center" vertical="center"/>
    </xf>
    <xf numFmtId="0" fontId="6" fillId="8" borderId="2" xfId="4" applyFont="1" applyFill="1" applyBorder="1" applyAlignment="1">
      <alignment horizontal="center" vertical="center"/>
    </xf>
    <xf numFmtId="14" fontId="6" fillId="8" borderId="5" xfId="4" applyNumberFormat="1" applyFont="1" applyFill="1" applyBorder="1" applyAlignment="1">
      <alignment horizontal="center" vertical="center"/>
    </xf>
    <xf numFmtId="0" fontId="9" fillId="13" borderId="4" xfId="4" applyFont="1" applyFill="1" applyBorder="1"/>
    <xf numFmtId="0" fontId="6" fillId="13" borderId="2" xfId="4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center" vertical="center"/>
    </xf>
    <xf numFmtId="0" fontId="6" fillId="13" borderId="5" xfId="4" applyFont="1" applyFill="1" applyBorder="1" applyAlignment="1">
      <alignment horizontal="center" vertical="center"/>
    </xf>
    <xf numFmtId="0" fontId="11" fillId="4" borderId="10" xfId="4" applyFont="1" applyFill="1" applyBorder="1" applyAlignment="1">
      <alignment horizontal="center"/>
    </xf>
    <xf numFmtId="0" fontId="12" fillId="19" borderId="2" xfId="4" applyFont="1" applyFill="1" applyBorder="1" applyAlignment="1">
      <alignment horizontal="center" vertical="center"/>
    </xf>
    <xf numFmtId="0" fontId="12" fillId="19" borderId="2" xfId="0" applyFont="1" applyFill="1" applyBorder="1" applyAlignment="1">
      <alignment horizontal="center" vertical="center"/>
    </xf>
    <xf numFmtId="0" fontId="8" fillId="27" borderId="2" xfId="4" applyFont="1" applyFill="1" applyBorder="1" applyAlignment="1">
      <alignment horizontal="center" vertical="center"/>
    </xf>
    <xf numFmtId="0" fontId="8" fillId="27" borderId="2" xfId="0" applyFont="1" applyFill="1" applyBorder="1" applyAlignment="1">
      <alignment horizontal="center" vertical="center"/>
    </xf>
    <xf numFmtId="0" fontId="8" fillId="4" borderId="0" xfId="4" applyFont="1" applyFill="1" applyAlignment="1">
      <alignment horizontal="center" vertical="center"/>
    </xf>
    <xf numFmtId="0" fontId="8" fillId="27" borderId="3" xfId="4" applyFont="1" applyFill="1" applyBorder="1" applyAlignment="1">
      <alignment horizontal="center" vertical="center"/>
    </xf>
    <xf numFmtId="0" fontId="8" fillId="27" borderId="4" xfId="4" applyFont="1" applyFill="1" applyBorder="1" applyAlignment="1">
      <alignment horizontal="center" vertical="center"/>
    </xf>
    <xf numFmtId="0" fontId="8" fillId="27" borderId="4" xfId="0" applyFont="1" applyFill="1" applyBorder="1" applyAlignment="1">
      <alignment horizontal="center" vertical="center"/>
    </xf>
    <xf numFmtId="0" fontId="8" fillId="19" borderId="2" xfId="4" applyFont="1" applyFill="1" applyBorder="1" applyAlignment="1">
      <alignment horizontal="left" vertical="center"/>
    </xf>
    <xf numFmtId="0" fontId="8" fillId="19" borderId="2" xfId="4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0" fontId="8" fillId="4" borderId="0" xfId="4" applyFont="1" applyFill="1" applyAlignment="1">
      <alignment horizontal="center"/>
    </xf>
    <xf numFmtId="0" fontId="8" fillId="7" borderId="6" xfId="4" applyFont="1" applyFill="1" applyBorder="1" applyAlignment="1">
      <alignment horizontal="left" vertical="center"/>
    </xf>
    <xf numFmtId="170" fontId="5" fillId="7" borderId="6" xfId="4" applyNumberFormat="1" applyFont="1" applyFill="1" applyBorder="1" applyAlignment="1">
      <alignment horizontal="center" vertical="center"/>
    </xf>
    <xf numFmtId="170" fontId="5" fillId="7" borderId="6" xfId="0" applyNumberFormat="1" applyFont="1" applyFill="1" applyBorder="1" applyAlignment="1">
      <alignment horizontal="center" vertical="center"/>
    </xf>
    <xf numFmtId="0" fontId="8" fillId="8" borderId="24" xfId="4" applyFont="1" applyFill="1" applyBorder="1" applyAlignment="1">
      <alignment horizontal="left" vertical="center"/>
    </xf>
    <xf numFmtId="170" fontId="5" fillId="8" borderId="24" xfId="4" applyNumberFormat="1" applyFont="1" applyFill="1" applyBorder="1" applyAlignment="1">
      <alignment horizontal="center" vertical="center"/>
    </xf>
    <xf numFmtId="170" fontId="5" fillId="8" borderId="24" xfId="0" applyNumberFormat="1" applyFont="1" applyFill="1" applyBorder="1" applyAlignment="1">
      <alignment horizontal="center" vertical="center"/>
    </xf>
    <xf numFmtId="0" fontId="8" fillId="21" borderId="24" xfId="4" applyFont="1" applyFill="1" applyBorder="1" applyAlignment="1">
      <alignment horizontal="left" vertical="center"/>
    </xf>
    <xf numFmtId="170" fontId="5" fillId="21" borderId="24" xfId="4" applyNumberFormat="1" applyFont="1" applyFill="1" applyBorder="1" applyAlignment="1">
      <alignment horizontal="center" vertical="center"/>
    </xf>
    <xf numFmtId="170" fontId="5" fillId="21" borderId="24" xfId="0" applyNumberFormat="1" applyFont="1" applyFill="1" applyBorder="1" applyAlignment="1">
      <alignment horizontal="center" vertical="center"/>
    </xf>
    <xf numFmtId="0" fontId="8" fillId="5" borderId="24" xfId="4" applyFont="1" applyFill="1" applyBorder="1" applyAlignment="1">
      <alignment horizontal="left" vertical="center"/>
    </xf>
    <xf numFmtId="170" fontId="5" fillId="5" borderId="24" xfId="4" applyNumberFormat="1" applyFont="1" applyFill="1" applyBorder="1" applyAlignment="1">
      <alignment horizontal="center" vertical="center"/>
    </xf>
    <xf numFmtId="170" fontId="5" fillId="5" borderId="24" xfId="0" applyNumberFormat="1" applyFont="1" applyFill="1" applyBorder="1" applyAlignment="1">
      <alignment horizontal="center" vertical="center"/>
    </xf>
    <xf numFmtId="0" fontId="8" fillId="18" borderId="24" xfId="4" applyFont="1" applyFill="1" applyBorder="1" applyAlignment="1">
      <alignment horizontal="left" vertical="center"/>
    </xf>
    <xf numFmtId="170" fontId="5" fillId="18" borderId="24" xfId="4" applyNumberFormat="1" applyFont="1" applyFill="1" applyBorder="1" applyAlignment="1">
      <alignment horizontal="center" vertical="center"/>
    </xf>
    <xf numFmtId="170" fontId="5" fillId="18" borderId="24" xfId="0" applyNumberFormat="1" applyFont="1" applyFill="1" applyBorder="1" applyAlignment="1">
      <alignment horizontal="center" vertical="center"/>
    </xf>
    <xf numFmtId="0" fontId="8" fillId="13" borderId="24" xfId="4" applyFont="1" applyFill="1" applyBorder="1" applyAlignment="1">
      <alignment horizontal="left" vertical="center"/>
    </xf>
    <xf numFmtId="170" fontId="5" fillId="13" borderId="24" xfId="4" applyNumberFormat="1" applyFont="1" applyFill="1" applyBorder="1" applyAlignment="1">
      <alignment horizontal="center" vertical="center"/>
    </xf>
    <xf numFmtId="170" fontId="5" fillId="13" borderId="24" xfId="0" applyNumberFormat="1" applyFont="1" applyFill="1" applyBorder="1" applyAlignment="1">
      <alignment horizontal="center" vertical="center"/>
    </xf>
    <xf numFmtId="0" fontId="8" fillId="15" borderId="24" xfId="4" applyFont="1" applyFill="1" applyBorder="1" applyAlignment="1">
      <alignment horizontal="left" vertical="center"/>
    </xf>
    <xf numFmtId="170" fontId="5" fillId="15" borderId="24" xfId="4" applyNumberFormat="1" applyFont="1" applyFill="1" applyBorder="1" applyAlignment="1">
      <alignment horizontal="center" vertical="center"/>
    </xf>
    <xf numFmtId="170" fontId="5" fillId="15" borderId="24" xfId="0" applyNumberFormat="1" applyFont="1" applyFill="1" applyBorder="1" applyAlignment="1">
      <alignment horizontal="center" vertical="center"/>
    </xf>
    <xf numFmtId="0" fontId="8" fillId="22" borderId="10" xfId="4" applyFont="1" applyFill="1" applyBorder="1" applyAlignment="1">
      <alignment horizontal="left" vertical="center"/>
    </xf>
    <xf numFmtId="170" fontId="5" fillId="22" borderId="10" xfId="4" applyNumberFormat="1" applyFont="1" applyFill="1" applyBorder="1" applyAlignment="1">
      <alignment horizontal="center" vertical="center"/>
    </xf>
    <xf numFmtId="170" fontId="5" fillId="22" borderId="10" xfId="0" applyNumberFormat="1" applyFont="1" applyFill="1" applyBorder="1" applyAlignment="1">
      <alignment horizontal="center" vertical="center"/>
    </xf>
    <xf numFmtId="0" fontId="8" fillId="4" borderId="0" xfId="4" applyFont="1" applyFill="1" applyAlignment="1">
      <alignment horizontal="left" vertical="center"/>
    </xf>
    <xf numFmtId="170" fontId="5" fillId="4" borderId="0" xfId="4" applyNumberFormat="1" applyFont="1" applyFill="1" applyAlignment="1">
      <alignment horizontal="center" vertical="center"/>
    </xf>
    <xf numFmtId="170" fontId="5" fillId="4" borderId="0" xfId="0" applyNumberFormat="1" applyFont="1" applyFill="1" applyAlignment="1">
      <alignment horizontal="center" vertical="center"/>
    </xf>
    <xf numFmtId="0" fontId="8" fillId="15" borderId="2" xfId="4" applyFont="1" applyFill="1" applyBorder="1" applyAlignment="1">
      <alignment horizontal="left" vertical="center"/>
    </xf>
    <xf numFmtId="170" fontId="8" fillId="15" borderId="2" xfId="0" applyNumberFormat="1" applyFont="1" applyFill="1" applyBorder="1" applyAlignment="1">
      <alignment horizontal="center" vertical="center"/>
    </xf>
    <xf numFmtId="0" fontId="6" fillId="4" borderId="0" xfId="4" applyFont="1" applyFill="1" applyAlignment="1">
      <alignment horizontal="center" vertical="center"/>
    </xf>
    <xf numFmtId="0" fontId="6" fillId="16" borderId="2" xfId="4" applyFont="1" applyFill="1" applyBorder="1" applyAlignment="1">
      <alignment horizontal="left" vertical="center"/>
    </xf>
    <xf numFmtId="170" fontId="6" fillId="16" borderId="2" xfId="4" applyNumberFormat="1" applyFont="1" applyFill="1" applyBorder="1" applyAlignment="1">
      <alignment horizontal="center" vertical="center"/>
    </xf>
    <xf numFmtId="170" fontId="6" fillId="16" borderId="2" xfId="0" applyNumberFormat="1" applyFont="1" applyFill="1" applyBorder="1" applyAlignment="1">
      <alignment horizontal="center" vertical="center"/>
    </xf>
    <xf numFmtId="0" fontId="6" fillId="16" borderId="10" xfId="4" applyFont="1" applyFill="1" applyBorder="1" applyAlignment="1">
      <alignment horizontal="left" vertical="center"/>
    </xf>
    <xf numFmtId="170" fontId="8" fillId="16" borderId="10" xfId="4" applyNumberFormat="1" applyFont="1" applyFill="1" applyBorder="1" applyAlignment="1">
      <alignment horizontal="center" vertical="center"/>
    </xf>
    <xf numFmtId="170" fontId="8" fillId="16" borderId="10" xfId="0" applyNumberFormat="1" applyFont="1" applyFill="1" applyBorder="1" applyAlignment="1">
      <alignment horizontal="center" vertical="center"/>
    </xf>
    <xf numFmtId="0" fontId="6" fillId="4" borderId="0" xfId="4" applyFont="1" applyFill="1" applyAlignment="1">
      <alignment horizontal="left" vertical="center"/>
    </xf>
    <xf numFmtId="170" fontId="6" fillId="4" borderId="0" xfId="4" applyNumberFormat="1" applyFont="1" applyFill="1" applyAlignment="1">
      <alignment horizontal="center" vertical="center"/>
    </xf>
    <xf numFmtId="170" fontId="6" fillId="4" borderId="0" xfId="0" applyNumberFormat="1" applyFont="1" applyFill="1" applyAlignment="1">
      <alignment horizontal="center" vertical="center"/>
    </xf>
    <xf numFmtId="0" fontId="8" fillId="8" borderId="6" xfId="4" applyFont="1" applyFill="1" applyBorder="1" applyAlignment="1">
      <alignment horizontal="left" vertical="center"/>
    </xf>
    <xf numFmtId="170" fontId="8" fillId="8" borderId="3" xfId="4" applyNumberFormat="1" applyFont="1" applyFill="1" applyBorder="1" applyAlignment="1">
      <alignment horizontal="center" vertical="center"/>
    </xf>
    <xf numFmtId="0" fontId="0" fillId="0" borderId="4" xfId="4" applyFont="1" applyBorder="1"/>
    <xf numFmtId="0" fontId="8" fillId="8" borderId="2" xfId="4" applyFont="1" applyFill="1" applyBorder="1" applyAlignment="1">
      <alignment horizontal="left" vertical="center"/>
    </xf>
    <xf numFmtId="0" fontId="8" fillId="7" borderId="6" xfId="4" applyFont="1" applyFill="1" applyBorder="1" applyAlignment="1">
      <alignment horizontal="left" vertical="center" wrapText="1"/>
    </xf>
    <xf numFmtId="170" fontId="8" fillId="7" borderId="6" xfId="4" applyNumberFormat="1" applyFont="1" applyFill="1" applyBorder="1" applyAlignment="1">
      <alignment horizontal="center" vertical="center"/>
    </xf>
    <xf numFmtId="170" fontId="8" fillId="7" borderId="6" xfId="0" applyNumberFormat="1" applyFont="1" applyFill="1" applyBorder="1" applyAlignment="1">
      <alignment horizontal="center" vertical="center"/>
    </xf>
    <xf numFmtId="0" fontId="8" fillId="8" borderId="10" xfId="4" applyFont="1" applyFill="1" applyBorder="1" applyAlignment="1">
      <alignment horizontal="left" vertical="center" wrapText="1"/>
    </xf>
    <xf numFmtId="170" fontId="8" fillId="8" borderId="10" xfId="0" applyNumberFormat="1" applyFont="1" applyFill="1" applyBorder="1" applyAlignment="1">
      <alignment horizontal="center" vertical="center"/>
    </xf>
    <xf numFmtId="0" fontId="8" fillId="7" borderId="2" xfId="4" applyFont="1" applyFill="1" applyBorder="1" applyAlignment="1">
      <alignment horizontal="left" vertical="center" wrapText="1"/>
    </xf>
    <xf numFmtId="170" fontId="8" fillId="7" borderId="2" xfId="4" applyNumberFormat="1" applyFont="1" applyFill="1" applyBorder="1" applyAlignment="1">
      <alignment horizontal="center" vertical="center"/>
    </xf>
    <xf numFmtId="170" fontId="8" fillId="7" borderId="2" xfId="0" applyNumberFormat="1" applyFont="1" applyFill="1" applyBorder="1" applyAlignment="1">
      <alignment horizontal="center" vertical="center"/>
    </xf>
    <xf numFmtId="0" fontId="28" fillId="32" borderId="2" xfId="4" applyFont="1" applyFill="1" applyBorder="1" applyAlignment="1">
      <alignment horizontal="center" vertical="center"/>
    </xf>
    <xf numFmtId="0" fontId="8" fillId="26" borderId="2" xfId="4" applyFont="1" applyFill="1" applyBorder="1" applyAlignment="1">
      <alignment horizontal="left" vertical="center"/>
    </xf>
    <xf numFmtId="170" fontId="8" fillId="26" borderId="2" xfId="4" applyNumberFormat="1" applyFont="1" applyFill="1" applyBorder="1" applyAlignment="1">
      <alignment horizontal="center" vertical="center"/>
    </xf>
    <xf numFmtId="170" fontId="8" fillId="26" borderId="2" xfId="0" applyNumberFormat="1" applyFont="1" applyFill="1" applyBorder="1" applyAlignment="1">
      <alignment horizontal="center" vertical="center"/>
    </xf>
    <xf numFmtId="0" fontId="5" fillId="4" borderId="0" xfId="0" applyFont="1" applyFill="1" applyAlignment="1"/>
    <xf numFmtId="0" fontId="8" fillId="25" borderId="1" xfId="4" applyFont="1" applyFill="1" applyBorder="1" applyAlignment="1">
      <alignment horizontal="left"/>
    </xf>
    <xf numFmtId="170" fontId="5" fillId="25" borderId="1" xfId="0" applyNumberFormat="1" applyFont="1" applyFill="1" applyBorder="1" applyAlignment="1">
      <alignment horizontal="center" vertical="center"/>
    </xf>
    <xf numFmtId="1" fontId="12" fillId="32" borderId="2" xfId="0" applyNumberFormat="1" applyFont="1" applyFill="1" applyBorder="1" applyAlignment="1" applyProtection="1">
      <alignment horizontal="center" vertical="center"/>
      <protection locked="0"/>
    </xf>
    <xf numFmtId="0" fontId="9" fillId="4" borderId="0" xfId="7" applyFont="1" applyFill="1"/>
    <xf numFmtId="0" fontId="5" fillId="4" borderId="0" xfId="7" applyFont="1" applyFill="1"/>
    <xf numFmtId="166" fontId="5" fillId="4" borderId="0" xfId="7" applyNumberFormat="1" applyFont="1" applyFill="1"/>
    <xf numFmtId="0" fontId="29" fillId="4" borderId="0" xfId="7" applyFont="1" applyFill="1"/>
    <xf numFmtId="0" fontId="6" fillId="4" borderId="0" xfId="7" applyFont="1" applyFill="1" applyAlignment="1">
      <alignment vertical="center"/>
    </xf>
    <xf numFmtId="0" fontId="7" fillId="4" borderId="0" xfId="7" applyFont="1" applyFill="1" applyAlignment="1">
      <alignment vertical="center"/>
    </xf>
    <xf numFmtId="0" fontId="18" fillId="28" borderId="0" xfId="7" applyFont="1" applyFill="1" applyAlignment="1">
      <alignment horizontal="right" vertical="center"/>
    </xf>
    <xf numFmtId="166" fontId="19" fillId="4" borderId="0" xfId="5" applyNumberFormat="1" applyFont="1" applyFill="1" applyAlignment="1">
      <alignment vertical="center"/>
    </xf>
    <xf numFmtId="0" fontId="20" fillId="30" borderId="3" xfId="7" applyFont="1" applyFill="1" applyBorder="1" applyAlignment="1">
      <alignment horizontal="right" vertical="center"/>
    </xf>
    <xf numFmtId="16" fontId="20" fillId="4" borderId="0" xfId="7" applyNumberFormat="1" applyFont="1" applyFill="1" applyAlignment="1">
      <alignment vertical="center"/>
    </xf>
    <xf numFmtId="0" fontId="21" fillId="4" borderId="0" xfId="7" applyFont="1" applyFill="1"/>
    <xf numFmtId="0" fontId="20" fillId="25" borderId="3" xfId="7" applyFont="1" applyFill="1" applyBorder="1" applyAlignment="1">
      <alignment horizontal="right" vertical="center"/>
    </xf>
    <xf numFmtId="0" fontId="20" fillId="8" borderId="28" xfId="7" applyFont="1" applyFill="1" applyBorder="1" applyAlignment="1">
      <alignment horizontal="right" vertical="center"/>
    </xf>
    <xf numFmtId="0" fontId="8" fillId="34" borderId="2" xfId="7" applyFont="1" applyFill="1" applyBorder="1" applyAlignment="1">
      <alignment horizontal="center" vertical="center"/>
    </xf>
    <xf numFmtId="0" fontId="20" fillId="18" borderId="3" xfId="7" applyFont="1" applyFill="1" applyBorder="1" applyAlignment="1">
      <alignment horizontal="right" vertical="center"/>
    </xf>
    <xf numFmtId="0" fontId="20" fillId="4" borderId="0" xfId="7" applyFont="1" applyFill="1" applyAlignment="1">
      <alignment vertical="center"/>
    </xf>
    <xf numFmtId="0" fontId="8" fillId="18" borderId="3" xfId="7" applyFont="1" applyFill="1" applyBorder="1" applyAlignment="1">
      <alignment horizontal="center" vertical="center"/>
    </xf>
    <xf numFmtId="170" fontId="8" fillId="18" borderId="2" xfId="7" applyNumberFormat="1" applyFont="1" applyFill="1" applyBorder="1" applyAlignment="1">
      <alignment horizontal="center" vertical="center"/>
    </xf>
    <xf numFmtId="0" fontId="6" fillId="4" borderId="0" xfId="7" applyFont="1" applyFill="1" applyAlignment="1">
      <alignment horizontal="right" vertical="center"/>
    </xf>
    <xf numFmtId="165" fontId="12" fillId="4" borderId="0" xfId="7" applyNumberFormat="1" applyFont="1" applyFill="1" applyAlignment="1">
      <alignment horizontal="center"/>
    </xf>
    <xf numFmtId="166" fontId="12" fillId="4" borderId="0" xfId="7" applyNumberFormat="1" applyFont="1" applyFill="1" applyAlignment="1">
      <alignment horizontal="center"/>
    </xf>
    <xf numFmtId="0" fontId="27" fillId="30" borderId="3" xfId="7" applyFont="1" applyFill="1" applyBorder="1" applyAlignment="1">
      <alignment horizontal="center" vertical="center" wrapText="1"/>
    </xf>
    <xf numFmtId="170" fontId="27" fillId="30" borderId="2" xfId="7" applyNumberFormat="1" applyFont="1" applyFill="1" applyBorder="1" applyAlignment="1">
      <alignment horizontal="center" vertical="center"/>
    </xf>
    <xf numFmtId="170" fontId="32" fillId="36" borderId="2" xfId="4" applyNumberFormat="1" applyFont="1" applyFill="1" applyBorder="1" applyAlignment="1">
      <alignment horizontal="center" vertical="center"/>
    </xf>
    <xf numFmtId="166" fontId="22" fillId="4" borderId="0" xfId="7" applyNumberFormat="1" applyFont="1" applyFill="1" applyAlignment="1">
      <alignment horizontal="center" vertical="center" wrapText="1"/>
    </xf>
    <xf numFmtId="0" fontId="29" fillId="26" borderId="0" xfId="7" applyFont="1" applyFill="1"/>
    <xf numFmtId="0" fontId="6" fillId="7" borderId="3" xfId="7" applyFont="1" applyFill="1" applyBorder="1" applyAlignment="1">
      <alignment horizontal="right" vertical="center"/>
    </xf>
    <xf numFmtId="0" fontId="8" fillId="7" borderId="4" xfId="7" applyFont="1" applyFill="1" applyBorder="1" applyAlignment="1">
      <alignment vertical="center"/>
    </xf>
    <xf numFmtId="166" fontId="8" fillId="7" borderId="5" xfId="7" applyNumberFormat="1" applyFont="1" applyFill="1" applyBorder="1" applyAlignment="1">
      <alignment horizontal="center" vertical="center"/>
    </xf>
    <xf numFmtId="0" fontId="9" fillId="7" borderId="3" xfId="7" applyFont="1" applyFill="1" applyBorder="1" applyAlignment="1">
      <alignment vertical="center"/>
    </xf>
    <xf numFmtId="0" fontId="5" fillId="7" borderId="4" xfId="7" applyFont="1" applyFill="1" applyBorder="1" applyAlignment="1">
      <alignment vertical="center"/>
    </xf>
    <xf numFmtId="170" fontId="8" fillId="24" borderId="2" xfId="7" applyNumberFormat="1" applyFont="1" applyFill="1" applyBorder="1" applyAlignment="1">
      <alignment horizontal="center" vertical="center"/>
    </xf>
    <xf numFmtId="0" fontId="6" fillId="8" borderId="3" xfId="7" applyFont="1" applyFill="1" applyBorder="1" applyAlignment="1">
      <alignment horizontal="right" vertical="center"/>
    </xf>
    <xf numFmtId="0" fontId="8" fillId="8" borderId="3" xfId="7" applyFont="1" applyFill="1" applyBorder="1" applyAlignment="1">
      <alignment vertical="center"/>
    </xf>
    <xf numFmtId="0" fontId="8" fillId="8" borderId="4" xfId="7" applyFont="1" applyFill="1" applyBorder="1" applyAlignment="1">
      <alignment vertical="center"/>
    </xf>
    <xf numFmtId="170" fontId="8" fillId="7" borderId="2" xfId="7" applyNumberFormat="1" applyFont="1" applyFill="1" applyBorder="1" applyAlignment="1">
      <alignment horizontal="center" vertical="center"/>
    </xf>
    <xf numFmtId="170" fontId="29" fillId="4" borderId="0" xfId="7" applyNumberFormat="1" applyFont="1" applyFill="1"/>
    <xf numFmtId="170" fontId="8" fillId="25" borderId="2" xfId="4" applyNumberFormat="1" applyFont="1" applyFill="1" applyBorder="1" applyAlignment="1">
      <alignment horizontal="center" vertical="center"/>
    </xf>
    <xf numFmtId="170" fontId="33" fillId="4" borderId="0" xfId="7" applyNumberFormat="1" applyFont="1" applyFill="1"/>
    <xf numFmtId="0" fontId="6" fillId="21" borderId="13" xfId="7" applyFont="1" applyFill="1" applyBorder="1" applyAlignment="1">
      <alignment horizontal="right" vertical="center"/>
    </xf>
    <xf numFmtId="0" fontId="8" fillId="21" borderId="31" xfId="7" applyFont="1" applyFill="1" applyBorder="1" applyAlignment="1">
      <alignment vertical="center"/>
    </xf>
    <xf numFmtId="166" fontId="8" fillId="21" borderId="32" xfId="7" applyNumberFormat="1" applyFont="1" applyFill="1" applyBorder="1" applyAlignment="1">
      <alignment horizontal="center" vertical="center"/>
    </xf>
    <xf numFmtId="0" fontId="6" fillId="21" borderId="3" xfId="7" applyFont="1" applyFill="1" applyBorder="1" applyAlignment="1">
      <alignment vertical="center"/>
    </xf>
    <xf numFmtId="0" fontId="8" fillId="21" borderId="4" xfId="7" applyFont="1" applyFill="1" applyBorder="1" applyAlignment="1">
      <alignment vertical="center"/>
    </xf>
    <xf numFmtId="170" fontId="8" fillId="17" borderId="2" xfId="7" applyNumberFormat="1" applyFont="1" applyFill="1" applyBorder="1" applyAlignment="1">
      <alignment horizontal="center" vertical="center"/>
    </xf>
    <xf numFmtId="0" fontId="6" fillId="10" borderId="13" xfId="7" applyFont="1" applyFill="1" applyBorder="1" applyAlignment="1">
      <alignment horizontal="right" vertical="center" wrapText="1"/>
    </xf>
    <xf numFmtId="0" fontId="5" fillId="10" borderId="31" xfId="7" applyFont="1" applyFill="1" applyBorder="1" applyAlignment="1">
      <alignment horizontal="left" vertical="center"/>
    </xf>
    <xf numFmtId="0" fontId="8" fillId="10" borderId="31" xfId="7" applyFont="1" applyFill="1" applyBorder="1" applyAlignment="1">
      <alignment vertical="center"/>
    </xf>
    <xf numFmtId="166" fontId="8" fillId="10" borderId="32" xfId="7" applyNumberFormat="1" applyFont="1" applyFill="1" applyBorder="1" applyAlignment="1">
      <alignment horizontal="center" vertical="center"/>
    </xf>
    <xf numFmtId="0" fontId="9" fillId="10" borderId="3" xfId="7" applyFont="1" applyFill="1" applyBorder="1" applyAlignment="1">
      <alignment vertical="center"/>
    </xf>
    <xf numFmtId="0" fontId="5" fillId="10" borderId="4" xfId="7" applyFont="1" applyFill="1" applyBorder="1" applyAlignment="1">
      <alignment vertical="center"/>
    </xf>
    <xf numFmtId="170" fontId="8" fillId="29" borderId="2" xfId="7" applyNumberFormat="1" applyFont="1" applyFill="1" applyBorder="1" applyAlignment="1">
      <alignment horizontal="center" vertical="center"/>
    </xf>
    <xf numFmtId="0" fontId="6" fillId="11" borderId="3" xfId="7" applyFont="1" applyFill="1" applyBorder="1" applyAlignment="1">
      <alignment horizontal="right" vertical="center"/>
    </xf>
    <xf numFmtId="0" fontId="5" fillId="11" borderId="4" xfId="7" applyFont="1" applyFill="1" applyBorder="1" applyAlignment="1">
      <alignment vertical="center"/>
    </xf>
    <xf numFmtId="0" fontId="8" fillId="11" borderId="4" xfId="7" applyFont="1" applyFill="1" applyBorder="1" applyAlignment="1">
      <alignment vertical="center"/>
    </xf>
    <xf numFmtId="166" fontId="8" fillId="11" borderId="5" xfId="7" applyNumberFormat="1" applyFont="1" applyFill="1" applyBorder="1" applyAlignment="1">
      <alignment horizontal="center" vertical="center"/>
    </xf>
    <xf numFmtId="0" fontId="9" fillId="11" borderId="3" xfId="7" applyFont="1" applyFill="1" applyBorder="1" applyAlignment="1">
      <alignment vertical="center"/>
    </xf>
    <xf numFmtId="170" fontId="8" fillId="21" borderId="2" xfId="7" applyNumberFormat="1" applyFont="1" applyFill="1" applyBorder="1" applyAlignment="1">
      <alignment horizontal="center" vertical="center"/>
    </xf>
    <xf numFmtId="0" fontId="6" fillId="13" borderId="3" xfId="7" applyFont="1" applyFill="1" applyBorder="1" applyAlignment="1">
      <alignment horizontal="right" vertical="center"/>
    </xf>
    <xf numFmtId="0" fontId="8" fillId="13" borderId="4" xfId="7" applyFont="1" applyFill="1" applyBorder="1" applyAlignment="1">
      <alignment vertical="center"/>
    </xf>
    <xf numFmtId="166" fontId="8" fillId="13" borderId="5" xfId="7" applyNumberFormat="1" applyFont="1" applyFill="1" applyBorder="1" applyAlignment="1">
      <alignment horizontal="center" vertical="center"/>
    </xf>
    <xf numFmtId="0" fontId="9" fillId="13" borderId="3" xfId="7" applyFont="1" applyFill="1" applyBorder="1" applyAlignment="1">
      <alignment vertical="center"/>
    </xf>
    <xf numFmtId="0" fontId="5" fillId="13" borderId="4" xfId="7" applyFont="1" applyFill="1" applyBorder="1" applyAlignment="1">
      <alignment vertical="center"/>
    </xf>
    <xf numFmtId="170" fontId="8" fillId="23" borderId="2" xfId="7" applyNumberFormat="1" applyFont="1" applyFill="1" applyBorder="1" applyAlignment="1">
      <alignment horizontal="center" vertical="center"/>
    </xf>
    <xf numFmtId="0" fontId="6" fillId="15" borderId="3" xfId="7" applyFont="1" applyFill="1" applyBorder="1" applyAlignment="1">
      <alignment horizontal="right" vertical="center"/>
    </xf>
    <xf numFmtId="0" fontId="8" fillId="15" borderId="4" xfId="7" applyFont="1" applyFill="1" applyBorder="1" applyAlignment="1">
      <alignment vertical="center"/>
    </xf>
    <xf numFmtId="166" fontId="8" fillId="15" borderId="5" xfId="7" applyNumberFormat="1" applyFont="1" applyFill="1" applyBorder="1" applyAlignment="1">
      <alignment horizontal="center" vertical="center"/>
    </xf>
    <xf numFmtId="0" fontId="9" fillId="15" borderId="3" xfId="7" applyFont="1" applyFill="1" applyBorder="1" applyAlignment="1">
      <alignment vertical="center"/>
    </xf>
    <xf numFmtId="0" fontId="5" fillId="15" borderId="4" xfId="7" applyFont="1" applyFill="1" applyBorder="1" applyAlignment="1">
      <alignment vertical="center"/>
    </xf>
    <xf numFmtId="170" fontId="8" fillId="30" borderId="2" xfId="7" applyNumberFormat="1" applyFont="1" applyFill="1" applyBorder="1" applyAlignment="1">
      <alignment horizontal="center" vertical="center"/>
    </xf>
    <xf numFmtId="170" fontId="9" fillId="4" borderId="0" xfId="7" applyNumberFormat="1" applyFont="1" applyFill="1"/>
    <xf numFmtId="0" fontId="6" fillId="22" borderId="3" xfId="7" applyFont="1" applyFill="1" applyBorder="1" applyAlignment="1">
      <alignment horizontal="right" vertical="center"/>
    </xf>
    <xf numFmtId="0" fontId="8" fillId="22" borderId="4" xfId="7" applyFont="1" applyFill="1" applyBorder="1" applyAlignment="1">
      <alignment vertical="center"/>
    </xf>
    <xf numFmtId="166" fontId="8" fillId="22" borderId="5" xfId="7" applyNumberFormat="1" applyFont="1" applyFill="1" applyBorder="1" applyAlignment="1">
      <alignment horizontal="center" vertical="center"/>
    </xf>
    <xf numFmtId="0" fontId="9" fillId="22" borderId="3" xfId="7" applyFont="1" applyFill="1" applyBorder="1" applyAlignment="1">
      <alignment vertical="center"/>
    </xf>
    <xf numFmtId="0" fontId="5" fillId="22" borderId="4" xfId="7" applyFont="1" applyFill="1" applyBorder="1" applyAlignment="1">
      <alignment vertical="center"/>
    </xf>
    <xf numFmtId="170" fontId="8" fillId="31" borderId="2" xfId="7" applyNumberFormat="1" applyFont="1" applyFill="1" applyBorder="1" applyAlignment="1">
      <alignment horizontal="center" vertical="center"/>
    </xf>
    <xf numFmtId="170" fontId="8" fillId="15" borderId="2" xfId="7" applyNumberFormat="1" applyFont="1" applyFill="1" applyBorder="1" applyAlignment="1">
      <alignment horizontal="center" vertical="center"/>
    </xf>
    <xf numFmtId="0" fontId="30" fillId="4" borderId="0" xfId="7" applyFont="1" applyFill="1" applyAlignment="1">
      <alignment vertical="center"/>
    </xf>
    <xf numFmtId="0" fontId="9" fillId="8" borderId="0" xfId="7" applyFont="1" applyFill="1"/>
    <xf numFmtId="0" fontId="5" fillId="8" borderId="0" xfId="7" applyFont="1" applyFill="1"/>
    <xf numFmtId="166" fontId="5" fillId="8" borderId="0" xfId="7" applyNumberFormat="1" applyFont="1" applyFill="1"/>
    <xf numFmtId="0" fontId="16" fillId="4" borderId="0" xfId="7" applyFont="1" applyFill="1" applyAlignment="1">
      <alignment vertical="center"/>
    </xf>
    <xf numFmtId="170" fontId="13" fillId="8" borderId="2" xfId="7" applyNumberFormat="1" applyFont="1" applyFill="1" applyBorder="1" applyAlignment="1">
      <alignment horizontal="center" vertical="center"/>
    </xf>
    <xf numFmtId="0" fontId="5" fillId="4" borderId="0" xfId="7" applyFont="1" applyFill="1" applyAlignment="1">
      <alignment vertical="center"/>
    </xf>
    <xf numFmtId="0" fontId="29" fillId="4" borderId="0" xfId="7" applyFont="1" applyFill="1" applyAlignment="1">
      <alignment vertical="center"/>
    </xf>
    <xf numFmtId="0" fontId="6" fillId="7" borderId="14" xfId="7" applyFont="1" applyFill="1" applyBorder="1" applyAlignment="1">
      <alignment horizontal="center" vertical="center"/>
    </xf>
    <xf numFmtId="0" fontId="6" fillId="7" borderId="37" xfId="7" applyFont="1" applyFill="1" applyBorder="1" applyAlignment="1">
      <alignment horizontal="center" vertical="center"/>
    </xf>
    <xf numFmtId="0" fontId="6" fillId="7" borderId="21" xfId="7" applyFont="1" applyFill="1" applyBorder="1" applyAlignment="1">
      <alignment horizontal="center" vertical="center"/>
    </xf>
    <xf numFmtId="166" fontId="6" fillId="7" borderId="18" xfId="7" applyNumberFormat="1" applyFont="1" applyFill="1" applyBorder="1" applyAlignment="1">
      <alignment horizontal="center" vertical="center"/>
    </xf>
    <xf numFmtId="0" fontId="9" fillId="8" borderId="22" xfId="7" applyFont="1" applyFill="1" applyBorder="1" applyAlignment="1">
      <alignment horizontal="center" vertical="center"/>
    </xf>
    <xf numFmtId="14" fontId="9" fillId="8" borderId="1" xfId="7" applyNumberFormat="1" applyFont="1" applyFill="1" applyBorder="1" applyAlignment="1">
      <alignment horizontal="center" vertical="center"/>
    </xf>
    <xf numFmtId="170" fontId="9" fillId="8" borderId="1" xfId="7" applyNumberFormat="1" applyFont="1" applyFill="1" applyBorder="1" applyAlignment="1">
      <alignment horizontal="center" vertical="center"/>
    </xf>
    <xf numFmtId="170" fontId="9" fillId="8" borderId="26" xfId="7" applyNumberFormat="1" applyFont="1" applyFill="1" applyBorder="1" applyAlignment="1">
      <alignment horizontal="center" vertical="center"/>
    </xf>
    <xf numFmtId="0" fontId="13" fillId="4" borderId="0" xfId="7" applyFont="1" applyFill="1" applyAlignment="1">
      <alignment horizontal="center" vertical="center"/>
    </xf>
    <xf numFmtId="0" fontId="31" fillId="4" borderId="0" xfId="7" applyFont="1" applyFill="1" applyAlignment="1">
      <alignment horizontal="center" vertical="center"/>
    </xf>
    <xf numFmtId="170" fontId="9" fillId="8" borderId="19" xfId="7" applyNumberFormat="1" applyFont="1" applyFill="1" applyBorder="1" applyAlignment="1">
      <alignment horizontal="center" vertical="center"/>
    </xf>
    <xf numFmtId="0" fontId="9" fillId="8" borderId="15" xfId="7" applyFont="1" applyFill="1" applyBorder="1" applyAlignment="1">
      <alignment horizontal="center" vertical="center"/>
    </xf>
    <xf numFmtId="14" fontId="9" fillId="8" borderId="20" xfId="7" applyNumberFormat="1" applyFont="1" applyFill="1" applyBorder="1" applyAlignment="1">
      <alignment horizontal="center" vertical="center"/>
    </xf>
    <xf numFmtId="170" fontId="9" fillId="8" borderId="20" xfId="7" applyNumberFormat="1" applyFont="1" applyFill="1" applyBorder="1" applyAlignment="1">
      <alignment horizontal="center" vertical="center"/>
    </xf>
    <xf numFmtId="170" fontId="9" fillId="8" borderId="23" xfId="7" applyNumberFormat="1" applyFont="1" applyFill="1" applyBorder="1" applyAlignment="1">
      <alignment horizontal="center" vertical="center"/>
    </xf>
    <xf numFmtId="49" fontId="5" fillId="4" borderId="0" xfId="7" applyNumberFormat="1" applyFont="1" applyFill="1"/>
    <xf numFmtId="0" fontId="8" fillId="23" borderId="0" xfId="4" applyFont="1" applyFill="1" applyAlignment="1">
      <alignment horizontal="center" vertical="center"/>
    </xf>
    <xf numFmtId="0" fontId="5" fillId="4" borderId="0" xfId="4" applyFont="1" applyFill="1" applyAlignment="1">
      <alignment horizontal="center"/>
    </xf>
    <xf numFmtId="0" fontId="8" fillId="25" borderId="0" xfId="4" applyFont="1" applyFill="1" applyAlignment="1">
      <alignment horizontal="right" vertical="center" wrapText="1"/>
    </xf>
    <xf numFmtId="0" fontId="11" fillId="4" borderId="0" xfId="4" applyFont="1" applyFill="1"/>
    <xf numFmtId="16" fontId="16" fillId="10" borderId="0" xfId="4" applyNumberFormat="1" applyFont="1" applyFill="1" applyAlignment="1">
      <alignment horizontal="center" vertical="center"/>
    </xf>
    <xf numFmtId="0" fontId="7" fillId="26" borderId="2" xfId="4" applyFont="1" applyFill="1" applyBorder="1" applyAlignment="1">
      <alignment horizontal="center" vertical="center"/>
    </xf>
    <xf numFmtId="0" fontId="0" fillId="0" borderId="30" xfId="0" applyFill="1" applyBorder="1" applyAlignment="1"/>
    <xf numFmtId="0" fontId="0" fillId="0" borderId="40" xfId="0" applyFill="1" applyBorder="1" applyAlignment="1"/>
    <xf numFmtId="0" fontId="0" fillId="0" borderId="42" xfId="0" applyFill="1" applyBorder="1" applyAlignment="1"/>
    <xf numFmtId="0" fontId="0" fillId="0" borderId="13" xfId="0" applyFill="1" applyBorder="1" applyAlignment="1"/>
    <xf numFmtId="0" fontId="0" fillId="0" borderId="32" xfId="0" applyFill="1" applyBorder="1" applyAlignment="1"/>
    <xf numFmtId="170" fontId="8" fillId="35" borderId="16" xfId="4" applyNumberFormat="1" applyFont="1" applyFill="1" applyBorder="1" applyAlignment="1">
      <alignment horizontal="center" vertical="center"/>
    </xf>
    <xf numFmtId="0" fontId="0" fillId="0" borderId="10" xfId="0" applyFill="1" applyBorder="1" applyAlignment="1"/>
    <xf numFmtId="0" fontId="8" fillId="17" borderId="0" xfId="4" applyFont="1" applyFill="1" applyAlignment="1">
      <alignment horizontal="center" vertical="center"/>
    </xf>
    <xf numFmtId="0" fontId="8" fillId="24" borderId="3" xfId="4" applyFont="1" applyFill="1" applyBorder="1" applyAlignment="1">
      <alignment horizontal="right" vertical="center"/>
    </xf>
    <xf numFmtId="0" fontId="0" fillId="0" borderId="4" xfId="0" applyFill="1" applyBorder="1" applyAlignment="1"/>
    <xf numFmtId="1" fontId="16" fillId="5" borderId="0" xfId="4" applyNumberFormat="1" applyFont="1" applyFill="1" applyAlignment="1">
      <alignment horizontal="center" vertical="center"/>
    </xf>
    <xf numFmtId="0" fontId="9" fillId="4" borderId="0" xfId="4" applyFont="1" applyFill="1"/>
    <xf numFmtId="170" fontId="26" fillId="35" borderId="10" xfId="4" applyNumberFormat="1" applyFont="1" applyFill="1" applyBorder="1" applyAlignment="1">
      <alignment horizontal="center" vertical="center" wrapText="1"/>
    </xf>
    <xf numFmtId="0" fontId="8" fillId="17" borderId="0" xfId="4" applyFont="1" applyFill="1" applyAlignment="1">
      <alignment horizontal="center" vertical="center" wrapText="1"/>
    </xf>
    <xf numFmtId="1" fontId="16" fillId="10" borderId="0" xfId="4" applyNumberFormat="1" applyFont="1" applyFill="1" applyAlignment="1">
      <alignment horizontal="center" vertical="center"/>
    </xf>
    <xf numFmtId="0" fontId="8" fillId="18" borderId="0" xfId="4" applyFont="1" applyFill="1" applyAlignment="1">
      <alignment horizontal="right" vertical="center" wrapText="1"/>
    </xf>
    <xf numFmtId="16" fontId="16" fillId="5" borderId="0" xfId="4" applyNumberFormat="1" applyFont="1" applyFill="1" applyAlignment="1">
      <alignment horizontal="center" vertical="center"/>
    </xf>
    <xf numFmtId="0" fontId="8" fillId="14" borderId="0" xfId="4" applyFont="1" applyFill="1" applyAlignment="1">
      <alignment horizontal="right" vertical="center" wrapText="1"/>
    </xf>
    <xf numFmtId="0" fontId="16" fillId="26" borderId="0" xfId="4" applyFont="1" applyFill="1" applyAlignment="1">
      <alignment horizontal="right" vertical="center" wrapText="1"/>
    </xf>
    <xf numFmtId="1" fontId="16" fillId="5" borderId="0" xfId="4" applyNumberFormat="1" applyFont="1" applyFill="1" applyAlignment="1" applyProtection="1">
      <alignment horizontal="center" vertical="center"/>
      <protection locked="0"/>
    </xf>
    <xf numFmtId="0" fontId="0" fillId="0" borderId="0" xfId="0" applyFill="1" applyAlignment="1" applyProtection="1">
      <protection locked="0"/>
    </xf>
    <xf numFmtId="0" fontId="8" fillId="14" borderId="2" xfId="0" applyFont="1" applyFill="1" applyBorder="1" applyProtection="1">
      <alignment horizontal="left" vertical="center"/>
      <protection locked="0"/>
    </xf>
    <xf numFmtId="0" fontId="0" fillId="0" borderId="4" xfId="0" applyFill="1" applyBorder="1" applyAlignment="1" applyProtection="1">
      <protection locked="0"/>
    </xf>
    <xf numFmtId="0" fontId="0" fillId="0" borderId="5" xfId="0" applyFill="1" applyBorder="1" applyAlignment="1" applyProtection="1">
      <protection locked="0"/>
    </xf>
    <xf numFmtId="0" fontId="8" fillId="6" borderId="14" xfId="2" applyFont="1" applyFill="1" applyBorder="1" applyAlignment="1">
      <alignment horizontal="center" vertical="center"/>
    </xf>
    <xf numFmtId="0" fontId="0" fillId="0" borderId="48" xfId="0" applyFill="1" applyBorder="1" applyAlignment="1"/>
    <xf numFmtId="0" fontId="0" fillId="0" borderId="11" xfId="0" applyFill="1" applyBorder="1" applyAlignment="1"/>
    <xf numFmtId="0" fontId="0" fillId="0" borderId="45" xfId="0" applyFill="1" applyBorder="1" applyAlignment="1"/>
    <xf numFmtId="175" fontId="8" fillId="6" borderId="22" xfId="2" applyNumberFormat="1" applyFont="1" applyFill="1" applyBorder="1" applyAlignment="1">
      <alignment horizontal="center" vertical="center"/>
    </xf>
    <xf numFmtId="0" fontId="0" fillId="0" borderId="46" xfId="0" applyFill="1" applyBorder="1" applyAlignment="1"/>
    <xf numFmtId="175" fontId="8" fillId="6" borderId="7" xfId="2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0" fillId="0" borderId="5" xfId="0" applyFill="1" applyBorder="1" applyAlignment="1"/>
    <xf numFmtId="0" fontId="8" fillId="25" borderId="2" xfId="0" applyFont="1" applyFill="1" applyBorder="1" applyAlignment="1">
      <alignment horizontal="center" vertical="center"/>
    </xf>
    <xf numFmtId="0" fontId="8" fillId="20" borderId="13" xfId="0" applyFont="1" applyFill="1" applyBorder="1" applyAlignment="1">
      <alignment horizontal="center" vertical="center"/>
    </xf>
    <xf numFmtId="0" fontId="8" fillId="6" borderId="2" xfId="2" applyFont="1" applyFill="1" applyBorder="1" applyAlignment="1">
      <alignment horizontal="center" vertical="center"/>
    </xf>
    <xf numFmtId="175" fontId="8" fillId="4" borderId="0" xfId="2" applyNumberFormat="1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8" fillId="19" borderId="3" xfId="0" applyFont="1" applyFill="1" applyBorder="1" applyAlignment="1">
      <alignment horizontal="center" vertical="center"/>
    </xf>
    <xf numFmtId="175" fontId="8" fillId="6" borderId="15" xfId="2" applyNumberFormat="1" applyFont="1" applyFill="1" applyBorder="1" applyAlignment="1">
      <alignment horizontal="center" vertical="center"/>
    </xf>
    <xf numFmtId="0" fontId="0" fillId="0" borderId="25" xfId="0" applyFill="1" applyBorder="1" applyAlignment="1"/>
    <xf numFmtId="0" fontId="8" fillId="20" borderId="49" xfId="0" applyFont="1" applyFill="1" applyBorder="1" applyAlignment="1">
      <alignment horizontal="center" vertical="center"/>
    </xf>
    <xf numFmtId="0" fontId="8" fillId="15" borderId="3" xfId="8" applyFont="1" applyFill="1" applyBorder="1" applyAlignment="1">
      <alignment horizontal="right" vertical="center"/>
    </xf>
    <xf numFmtId="0" fontId="8" fillId="18" borderId="2" xfId="8" applyFont="1" applyFill="1" applyBorder="1" applyAlignment="1">
      <alignment horizontal="center" vertical="center"/>
    </xf>
    <xf numFmtId="0" fontId="8" fillId="13" borderId="3" xfId="8" applyFont="1" applyFill="1" applyBorder="1" applyAlignment="1">
      <alignment horizontal="right" vertical="center"/>
    </xf>
    <xf numFmtId="0" fontId="8" fillId="22" borderId="3" xfId="8" applyFont="1" applyFill="1" applyBorder="1" applyAlignment="1">
      <alignment horizontal="right" vertical="center"/>
    </xf>
    <xf numFmtId="0" fontId="8" fillId="21" borderId="3" xfId="8" applyFont="1" applyFill="1" applyBorder="1" applyAlignment="1">
      <alignment horizontal="right" vertical="center"/>
    </xf>
    <xf numFmtId="0" fontId="8" fillId="11" borderId="3" xfId="8" applyFont="1" applyFill="1" applyBorder="1" applyAlignment="1">
      <alignment horizontal="right" vertical="center"/>
    </xf>
    <xf numFmtId="0" fontId="8" fillId="8" borderId="3" xfId="8" applyFont="1" applyFill="1" applyBorder="1" applyAlignment="1">
      <alignment horizontal="right" vertical="center"/>
    </xf>
    <xf numFmtId="0" fontId="8" fillId="10" borderId="13" xfId="8" applyFont="1" applyFill="1" applyBorder="1" applyAlignment="1">
      <alignment horizontal="right" vertical="center"/>
    </xf>
    <xf numFmtId="0" fontId="0" fillId="0" borderId="31" xfId="0" applyFill="1" applyBorder="1" applyAlignment="1"/>
    <xf numFmtId="0" fontId="8" fillId="27" borderId="2" xfId="4" applyFont="1" applyFill="1" applyBorder="1" applyAlignment="1">
      <alignment horizontal="center" vertical="center"/>
    </xf>
    <xf numFmtId="0" fontId="0" fillId="0" borderId="24" xfId="0" applyFill="1" applyBorder="1" applyAlignment="1"/>
    <xf numFmtId="0" fontId="12" fillId="13" borderId="3" xfId="4" applyFont="1" applyFill="1" applyBorder="1" applyAlignment="1">
      <alignment horizontal="center" vertical="center"/>
    </xf>
    <xf numFmtId="0" fontId="7" fillId="14" borderId="3" xfId="4" applyFont="1" applyFill="1" applyBorder="1" applyAlignment="1">
      <alignment horizontal="center" vertical="center"/>
    </xf>
    <xf numFmtId="0" fontId="13" fillId="8" borderId="2" xfId="7" applyFont="1" applyFill="1" applyBorder="1" applyAlignment="1">
      <alignment horizontal="center" vertical="center"/>
    </xf>
    <xf numFmtId="0" fontId="38" fillId="8" borderId="4" xfId="0" applyFont="1" applyFill="1" applyBorder="1" applyAlignment="1"/>
    <xf numFmtId="0" fontId="38" fillId="8" borderId="5" xfId="0" applyFont="1" applyFill="1" applyBorder="1" applyAlignment="1"/>
    <xf numFmtId="0" fontId="8" fillId="15" borderId="2" xfId="7" applyFont="1" applyFill="1" applyBorder="1" applyAlignment="1">
      <alignment horizontal="center" vertical="center"/>
    </xf>
    <xf numFmtId="0" fontId="0" fillId="3" borderId="5" xfId="0" applyBorder="1">
      <alignment horizontal="left" vertical="center"/>
    </xf>
    <xf numFmtId="0" fontId="6" fillId="24" borderId="2" xfId="7" applyFont="1" applyFill="1" applyBorder="1" applyAlignment="1">
      <alignment horizontal="center" vertical="center"/>
    </xf>
    <xf numFmtId="1" fontId="20" fillId="18" borderId="2" xfId="7" applyNumberFormat="1" applyFont="1" applyFill="1" applyBorder="1" applyAlignment="1">
      <alignment horizontal="left" vertical="center"/>
    </xf>
    <xf numFmtId="0" fontId="8" fillId="7" borderId="2" xfId="7" applyFont="1" applyFill="1" applyBorder="1" applyAlignment="1">
      <alignment horizontal="center" vertical="center"/>
    </xf>
    <xf numFmtId="0" fontId="8" fillId="15" borderId="3" xfId="7" applyFont="1" applyFill="1" applyBorder="1" applyAlignment="1">
      <alignment horizontal="center" vertical="center"/>
    </xf>
    <xf numFmtId="0" fontId="8" fillId="15" borderId="4" xfId="7" applyFont="1" applyFill="1" applyBorder="1" applyAlignment="1">
      <alignment horizontal="center" vertical="center"/>
    </xf>
    <xf numFmtId="0" fontId="8" fillId="15" borderId="5" xfId="7" applyFont="1" applyFill="1" applyBorder="1" applyAlignment="1">
      <alignment horizontal="center" vertical="center"/>
    </xf>
    <xf numFmtId="0" fontId="8" fillId="24" borderId="3" xfId="7" applyFont="1" applyFill="1" applyBorder="1" applyAlignment="1">
      <alignment horizontal="center" vertical="center"/>
    </xf>
    <xf numFmtId="0" fontId="8" fillId="24" borderId="4" xfId="7" applyFont="1" applyFill="1" applyBorder="1" applyAlignment="1">
      <alignment horizontal="center" vertical="center"/>
    </xf>
    <xf numFmtId="0" fontId="8" fillId="24" borderId="5" xfId="7" applyFont="1" applyFill="1" applyBorder="1" applyAlignment="1">
      <alignment horizontal="center" vertical="center"/>
    </xf>
    <xf numFmtId="14" fontId="20" fillId="8" borderId="2" xfId="7" applyNumberFormat="1" applyFont="1" applyFill="1" applyBorder="1" applyAlignment="1">
      <alignment horizontal="left" vertical="center"/>
    </xf>
    <xf numFmtId="0" fontId="28" fillId="32" borderId="2" xfId="4" applyFont="1" applyFill="1" applyBorder="1" applyAlignment="1">
      <alignment horizontal="center" vertical="center" wrapText="1"/>
    </xf>
    <xf numFmtId="0" fontId="20" fillId="30" borderId="2" xfId="7" applyFont="1" applyFill="1" applyBorder="1" applyAlignment="1">
      <alignment horizontal="left" vertical="center"/>
    </xf>
    <xf numFmtId="0" fontId="5" fillId="8" borderId="5" xfId="7" applyFont="1" applyFill="1" applyBorder="1" applyAlignment="1">
      <alignment horizontal="left" vertical="center" wrapText="1"/>
    </xf>
    <xf numFmtId="14" fontId="20" fillId="25" borderId="2" xfId="7" applyNumberFormat="1" applyFont="1" applyFill="1" applyBorder="1" applyAlignment="1">
      <alignment horizontal="left" vertical="center"/>
    </xf>
    <xf numFmtId="0" fontId="25" fillId="26" borderId="2" xfId="4" applyFont="1" applyFill="1" applyBorder="1" applyAlignment="1">
      <alignment horizontal="center" vertical="center"/>
    </xf>
    <xf numFmtId="0" fontId="15" fillId="35" borderId="0" xfId="4" applyFont="1" applyFill="1" applyAlignment="1">
      <alignment horizontal="center" vertical="center"/>
    </xf>
    <xf numFmtId="176" fontId="8" fillId="25" borderId="2" xfId="0" applyNumberFormat="1" applyFont="1" applyFill="1" applyBorder="1" applyProtection="1">
      <alignment horizontal="left" vertical="center"/>
      <protection locked="0"/>
    </xf>
    <xf numFmtId="176" fontId="8" fillId="8" borderId="2" xfId="0" applyNumberFormat="1" applyFont="1" applyFill="1" applyBorder="1" applyProtection="1">
      <alignment horizontal="left" vertical="center"/>
      <protection locked="0"/>
    </xf>
  </cellXfs>
  <cellStyles count="9">
    <cellStyle name="Heading 1" xfId="1" builtinId="16"/>
    <cellStyle name="Heading 2" xfId="2" builtinId="17"/>
    <cellStyle name="Hyperlink 2" xfId="5" xr:uid="{00000000-0005-0000-0000-000005000000}"/>
    <cellStyle name="Normal" xfId="0" builtinId="0"/>
    <cellStyle name="Normal 2" xfId="3" xr:uid="{00000000-0005-0000-0000-000003000000}"/>
    <cellStyle name="Normal 3" xfId="4" xr:uid="{00000000-0005-0000-0000-000004000000}"/>
    <cellStyle name="Normal 3 2" xfId="6" xr:uid="{00000000-0005-0000-0000-000006000000}"/>
    <cellStyle name="Normal 3 2 2" xfId="7" xr:uid="{00000000-0005-0000-0000-000007000000}"/>
    <cellStyle name="Normal 3 3" xfId="8" xr:uid="{00000000-0005-0000-0000-000008000000}"/>
  </cellStyles>
  <dxfs count="10">
    <dxf>
      <font>
        <b/>
        <color theme="0" tint="-0.34998626667073579"/>
      </font>
    </dxf>
    <dxf>
      <font>
        <b/>
        <color theme="0" tint="-0.34998626667073579"/>
      </font>
    </dxf>
    <dxf>
      <font>
        <color theme="0" tint="-0.34998626667073579"/>
      </font>
      <border>
        <top style="thin">
          <color theme="1"/>
        </top>
        <bottom/>
      </border>
    </dxf>
    <dxf>
      <font>
        <color theme="0" tint="-4.9989318521683403E-2"/>
      </font>
      <border>
        <left/>
        <right/>
        <top/>
        <bottom/>
        <vertical/>
        <horizontal/>
      </border>
    </dxf>
    <dxf>
      <font>
        <color theme="0" tint="-0.34998626667073579"/>
      </font>
      <fill>
        <patternFill patternType="solid">
          <bgColor theme="1" tint="0.1498764000366222"/>
        </patternFill>
      </fill>
      <border>
        <top style="thin">
          <color theme="1"/>
        </top>
        <bottom/>
        <vertical/>
        <horizontal style="thin">
          <color theme="1"/>
        </horizontal>
      </border>
    </dxf>
    <dxf>
      <font>
        <b/>
        <color theme="0" tint="-0.34998626667073579"/>
      </font>
    </dxf>
    <dxf>
      <font>
        <b/>
        <color theme="0" tint="-0.34998626667073579"/>
      </font>
    </dxf>
    <dxf>
      <font>
        <color theme="0" tint="-0.34998626667073579"/>
      </font>
      <border>
        <top style="thin">
          <color theme="1"/>
        </top>
        <bottom/>
      </border>
    </dxf>
    <dxf>
      <font>
        <color theme="4"/>
      </font>
      <border>
        <left/>
        <right/>
        <top/>
        <bottom/>
        <vertical/>
        <horizontal/>
      </border>
    </dxf>
    <dxf>
      <font>
        <color theme="0" tint="-0.34998626667073579"/>
      </font>
      <fill>
        <patternFill patternType="solid">
          <bgColor theme="1" tint="0.1498764000366222"/>
        </patternFill>
      </fill>
      <border>
        <top style="thin">
          <color theme="1"/>
        </top>
        <bottom/>
        <vertical/>
        <horizontal style="thin">
          <color theme="1"/>
        </horizontal>
      </border>
    </dxf>
  </dxfs>
  <tableStyles count="2" defaultTableStyle="College course manager table style" defaultPivotStyle="PivotStyleLight16">
    <tableStyle name="College course manager table style" pivot="0" count="5" xr9:uid="{00000000-0011-0000-FFFF-FFFF00000000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</tableStyle>
    <tableStyle name="College course manager table style 2" pivot="0" count="5" xr9:uid="{00000000-0011-0000-FFFF-FFFF01000000}">
      <tableStyleElement type="wholeTable" dxfId="4"/>
      <tableStyleElement type="headerRow" dxfId="3"/>
      <tableStyleElement type="totalRow" dxfId="2"/>
      <tableStyleElement type="firstColumn" dxfId="1"/>
      <tableStyleElement type="lastColumn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Relationship Id="rId31" Type="http://schemas.openxmlformats.org/officeDocument/2006/relationships/worksheet" Target="worksheets/sheet2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223059</xdr:colOff>
      <xdr:row>3</xdr:row>
      <xdr:rowOff>34638</xdr:rowOff>
    </xdr:from>
    <xdr:to>
      <xdr:col>2</xdr:col>
      <xdr:colOff>1212583</xdr:colOff>
      <xdr:row>4</xdr:row>
      <xdr:rowOff>611910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3150" y="1039093"/>
          <a:ext cx="989524" cy="99290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223059</xdr:colOff>
      <xdr:row>3</xdr:row>
      <xdr:rowOff>34638</xdr:rowOff>
    </xdr:from>
    <xdr:to>
      <xdr:col>2</xdr:col>
      <xdr:colOff>1212583</xdr:colOff>
      <xdr:row>4</xdr:row>
      <xdr:rowOff>611910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7059" y="1533238"/>
          <a:ext cx="989524" cy="9963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223059</xdr:colOff>
      <xdr:row>3</xdr:row>
      <xdr:rowOff>34638</xdr:rowOff>
    </xdr:from>
    <xdr:to>
      <xdr:col>2</xdr:col>
      <xdr:colOff>1212583</xdr:colOff>
      <xdr:row>4</xdr:row>
      <xdr:rowOff>611910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7059" y="1533238"/>
          <a:ext cx="989524" cy="9963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223059</xdr:colOff>
      <xdr:row>3</xdr:row>
      <xdr:rowOff>34638</xdr:rowOff>
    </xdr:from>
    <xdr:to>
      <xdr:col>2</xdr:col>
      <xdr:colOff>1212583</xdr:colOff>
      <xdr:row>4</xdr:row>
      <xdr:rowOff>611910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7059" y="1533238"/>
          <a:ext cx="989524" cy="9963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917941</xdr:colOff>
      <xdr:row>0</xdr:row>
      <xdr:rowOff>0</xdr:rowOff>
    </xdr:from>
    <xdr:to>
      <xdr:col>1</xdr:col>
      <xdr:colOff>2225723</xdr:colOff>
      <xdr:row>3</xdr:row>
      <xdr:rowOff>388285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767" y="0"/>
          <a:ext cx="1307782" cy="127176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367456</xdr:colOff>
      <xdr:row>1</xdr:row>
      <xdr:rowOff>129994</xdr:rowOff>
    </xdr:from>
    <xdr:to>
      <xdr:col>8</xdr:col>
      <xdr:colOff>1747956</xdr:colOff>
      <xdr:row>3</xdr:row>
      <xdr:rowOff>364219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7779" y="129994"/>
          <a:ext cx="1380500" cy="1326698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3.PLANEJAMENTO/PLANEJAMENTO_GERAL/MAPU_PLANNER.xlsx" TargetMode="External"/><Relationship Id="rId2" Type="http://schemas.openxmlformats.org/officeDocument/2006/relationships/externalLinkPath" Target="/Users/mac/Dropbox/Family%20Room/4.MAPU/3.PLANEJAMENTO/PLANEJAMENTO_GERAL/MAPU_PLANNER.xlsx" TargetMode="External"/><Relationship Id="rId1" Type="http://schemas.openxmlformats.org/officeDocument/2006/relationships/externalLinkPath" Target="/Users/mac/Dropbox/Family%20Room/4.MAPU/3.PLANEJAMENTO/PLANEJAMENTO_GERAL/MAPU_PLANN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⚙️ INPUTS"/>
      <sheetName val="💰 PREÇOS"/>
      <sheetName val="🏷️ PRECIFICAÇÃO"/>
      <sheetName val="🗒️ TABELA"/>
      <sheetName val="📊 PREVISÕES"/>
      <sheetName val="📅 PROGRAMAS"/>
    </sheetNames>
    <sheetDataSet>
      <sheetData sheetId="0">
        <row r="16">
          <cell r="B16">
            <v>24000</v>
          </cell>
        </row>
        <row r="17">
          <cell r="B17">
            <v>18000</v>
          </cell>
        </row>
        <row r="21">
          <cell r="B21">
            <v>60000</v>
          </cell>
        </row>
        <row r="22">
          <cell r="B22">
            <v>36000</v>
          </cell>
        </row>
        <row r="33">
          <cell r="B33">
            <v>0.04</v>
          </cell>
        </row>
        <row r="34">
          <cell r="B34">
            <v>0.15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College course manager">
      <a:dk1>
        <a:sysClr val="windowText" lastClr="000000"/>
      </a:dk1>
      <a:lt1>
        <a:sysClr val="window" lastClr="FFFFFF"/>
      </a:lt1>
      <a:dk2>
        <a:srgbClr val="1A1715"/>
      </a:dk2>
      <a:lt2>
        <a:srgbClr val="FCFCFB"/>
      </a:lt2>
      <a:accent1>
        <a:srgbClr val="38C8CC"/>
      </a:accent1>
      <a:accent2>
        <a:srgbClr val="F6717A"/>
      </a:accent2>
      <a:accent3>
        <a:srgbClr val="80CA6F"/>
      </a:accent3>
      <a:accent4>
        <a:srgbClr val="F6CF6B"/>
      </a:accent4>
      <a:accent5>
        <a:srgbClr val="FFA957"/>
      </a:accent5>
      <a:accent6>
        <a:srgbClr val="A37CB2"/>
      </a:accent6>
      <a:hlink>
        <a:srgbClr val="38C8CC"/>
      </a:hlink>
      <a:folHlink>
        <a:srgbClr val="A37CB2"/>
      </a:folHlink>
    </a:clrScheme>
    <a:fontScheme name="College course manager2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 tint="0.14999847407452621"/>
    <pageSetUpPr autoPageBreaks="0" fitToPage="1"/>
  </sheetPr>
  <dimension ref="A1:X98"/>
  <sheetViews>
    <sheetView showGridLines="0" zoomScale="60" zoomScaleNormal="94" workbookViewId="0">
      <pane ySplit="5" topLeftCell="A6" activePane="bottomLeft" state="frozen"/>
      <selection activeCell="A28" sqref="A28:D28"/>
      <selection pane="bottomLeft" activeCell="D3" activeCellId="2" sqref="C2:C3 K2:P2 D3:P23"/>
    </sheetView>
  </sheetViews>
  <sheetFormatPr baseColWidth="10" defaultColWidth="9.19921875" defaultRowHeight="31.5" customHeight="1"/>
  <cols>
    <col min="1" max="1" width="15" style="365" customWidth="1"/>
    <col min="2" max="2" width="9" style="365" customWidth="1"/>
    <col min="3" max="3" width="21.3984375" style="365" customWidth="1"/>
    <col min="4" max="4" width="23" style="365" customWidth="1"/>
    <col min="5" max="5" width="20.796875" style="365" customWidth="1"/>
    <col min="6" max="6" width="21.59765625" style="365" customWidth="1"/>
    <col min="7" max="8" width="23" style="365" customWidth="1"/>
    <col min="9" max="9" width="24.59765625" style="365" customWidth="1"/>
    <col min="10" max="10" width="21.796875" style="365" customWidth="1"/>
    <col min="11" max="11" width="22.796875" style="365" customWidth="1"/>
    <col min="12" max="12" width="22.19921875" style="365" customWidth="1"/>
    <col min="13" max="13" width="20" style="365" customWidth="1"/>
    <col min="14" max="14" width="21.19921875" style="365" customWidth="1"/>
    <col min="15" max="15" width="20.19921875" style="365" customWidth="1"/>
    <col min="16" max="16" width="17" style="365" customWidth="1"/>
    <col min="17" max="17" width="24" style="365" customWidth="1"/>
    <col min="18" max="18" width="25.59765625" style="365" customWidth="1"/>
    <col min="19" max="19" width="42.59765625" style="365" customWidth="1"/>
    <col min="20" max="35" width="9.19921875" style="365" customWidth="1"/>
    <col min="36" max="16384" width="9.19921875" style="365"/>
  </cols>
  <sheetData>
    <row r="1" spans="1:16" ht="54" customHeight="1" thickBot="1">
      <c r="A1" s="364"/>
      <c r="B1" s="364"/>
    </row>
    <row r="2" spans="1:16" ht="28" customHeight="1" thickBot="1">
      <c r="A2" s="697" t="s">
        <v>36</v>
      </c>
      <c r="B2" s="696"/>
      <c r="C2" s="740"/>
      <c r="D2" s="366"/>
      <c r="E2" s="366"/>
      <c r="F2" s="367"/>
      <c r="G2" s="368"/>
      <c r="H2" s="366"/>
      <c r="I2" s="369" t="s">
        <v>37</v>
      </c>
      <c r="J2" s="370">
        <f>C3-C2</f>
        <v>0</v>
      </c>
      <c r="K2" s="685" t="s">
        <v>38</v>
      </c>
      <c r="L2" s="686"/>
      <c r="M2" s="686"/>
      <c r="N2" s="686"/>
      <c r="O2" s="686"/>
      <c r="P2" s="687"/>
    </row>
    <row r="3" spans="1:16" s="371" customFormat="1" ht="36" customHeight="1" thickBot="1">
      <c r="A3" s="695" t="s">
        <v>0</v>
      </c>
      <c r="B3" s="696"/>
      <c r="C3" s="741"/>
      <c r="D3" s="304">
        <v>46305</v>
      </c>
      <c r="E3" s="304">
        <v>46306</v>
      </c>
      <c r="F3" s="304">
        <v>46307</v>
      </c>
      <c r="G3" s="304">
        <v>46308</v>
      </c>
      <c r="H3" s="304">
        <v>46309</v>
      </c>
      <c r="I3" s="282" t="str">
        <f>TEXT(C2,"dd/mm")</f>
        <v>00/01</v>
      </c>
      <c r="J3" s="282" t="str">
        <f>IF(C2+1&lt;=C3,TEXT(C2+1,"DD/MM"),"")</f>
        <v/>
      </c>
      <c r="K3" s="282" t="str">
        <f>IF(C2+2&lt;=C3,TEXT(C2+2,"DD/MM"),"")</f>
        <v/>
      </c>
      <c r="L3" s="282" t="str">
        <f>IF(C2+3&lt;=C3,TEXT(C2+3,"DD/MM"),"")</f>
        <v/>
      </c>
      <c r="M3" s="282"/>
      <c r="N3" s="282"/>
      <c r="O3" s="282"/>
      <c r="P3" s="319"/>
    </row>
    <row r="4" spans="1:16" ht="33" customHeight="1" thickBot="1">
      <c r="A4" s="688" t="s">
        <v>39</v>
      </c>
      <c r="B4" s="689"/>
      <c r="C4" s="699"/>
      <c r="D4" s="308" t="s">
        <v>40</v>
      </c>
      <c r="E4" s="307" t="s">
        <v>41</v>
      </c>
      <c r="F4" s="307" t="s">
        <v>42</v>
      </c>
      <c r="G4" s="307" t="s">
        <v>43</v>
      </c>
      <c r="H4" s="307" t="s">
        <v>44</v>
      </c>
      <c r="I4" s="305" t="str">
        <f>IF(I3&lt;&gt;"",TEXT(C2,"DDD"),"")</f>
        <v>Sat</v>
      </c>
      <c r="J4" s="305" t="str">
        <f>IF(J3&lt;&gt;"",TEXT(C2+1,"DDD"),"")</f>
        <v/>
      </c>
      <c r="K4" s="306" t="str">
        <f>IF(K3&lt;&gt;"",TEXT(C2+2,"DDD"),"")</f>
        <v/>
      </c>
      <c r="L4" s="305" t="str">
        <f>IF(L3&lt;&gt;"",TEXT(C2+3,"DDD"),"")</f>
        <v/>
      </c>
      <c r="M4" s="280"/>
      <c r="N4" s="280"/>
      <c r="O4" s="281"/>
      <c r="P4" s="320"/>
    </row>
    <row r="5" spans="1:16" ht="50" customHeight="1" thickBot="1">
      <c r="A5" s="690"/>
      <c r="B5" s="691"/>
      <c r="C5" s="670"/>
      <c r="D5" s="316"/>
      <c r="E5" s="317"/>
      <c r="F5" s="317"/>
      <c r="G5" s="317"/>
      <c r="H5" s="317"/>
      <c r="I5" s="317"/>
      <c r="J5" s="317"/>
      <c r="K5" s="317"/>
      <c r="L5" s="317"/>
      <c r="M5" s="317"/>
      <c r="N5" s="317"/>
      <c r="O5" s="317"/>
      <c r="P5" s="318"/>
    </row>
    <row r="6" spans="1:16" ht="50" customHeight="1" thickBot="1">
      <c r="A6" s="372"/>
      <c r="B6" s="373"/>
      <c r="C6" s="363"/>
      <c r="D6" s="315"/>
      <c r="E6" s="315"/>
      <c r="F6" s="315"/>
      <c r="G6" s="315"/>
      <c r="H6" s="315"/>
      <c r="I6" s="315"/>
      <c r="J6" s="315"/>
      <c r="K6" s="315"/>
      <c r="L6" s="315"/>
      <c r="M6" s="315"/>
      <c r="N6" s="315"/>
      <c r="O6" s="315"/>
      <c r="P6" s="321"/>
    </row>
    <row r="7" spans="1:16" ht="45" customHeight="1" thickBot="1">
      <c r="A7" s="694">
        <v>0.29166666666666669</v>
      </c>
      <c r="B7" s="691"/>
      <c r="C7" s="698" t="s">
        <v>45</v>
      </c>
      <c r="D7" s="314"/>
      <c r="E7" s="314"/>
      <c r="F7" s="314"/>
      <c r="G7" s="313"/>
      <c r="H7" s="314"/>
      <c r="I7" s="314"/>
      <c r="J7" s="314"/>
      <c r="K7" s="313"/>
      <c r="L7" s="314"/>
      <c r="M7" s="314"/>
      <c r="N7" s="314"/>
      <c r="O7" s="313"/>
      <c r="P7" s="322"/>
    </row>
    <row r="8" spans="1:16" ht="45" customHeight="1">
      <c r="A8" s="692">
        <v>0.33333333333333331</v>
      </c>
      <c r="B8" s="693"/>
      <c r="C8" s="665"/>
      <c r="D8" s="314"/>
      <c r="E8" s="314"/>
      <c r="F8" s="314"/>
      <c r="G8" s="313"/>
      <c r="H8" s="314"/>
      <c r="I8" s="314"/>
      <c r="J8" s="314"/>
      <c r="K8" s="313"/>
      <c r="L8" s="314"/>
      <c r="M8" s="314"/>
      <c r="N8" s="314"/>
      <c r="O8" s="313"/>
      <c r="P8" s="322"/>
    </row>
    <row r="9" spans="1:16" ht="45" customHeight="1">
      <c r="A9" s="692">
        <v>0.375</v>
      </c>
      <c r="B9" s="693"/>
      <c r="C9" s="665"/>
      <c r="D9" s="314"/>
      <c r="E9" s="314"/>
      <c r="F9" s="314"/>
      <c r="G9" s="313"/>
      <c r="H9" s="314"/>
      <c r="I9" s="314"/>
      <c r="J9" s="314"/>
      <c r="K9" s="313"/>
      <c r="L9" s="314"/>
      <c r="M9" s="314"/>
      <c r="N9" s="314"/>
      <c r="O9" s="313"/>
      <c r="P9" s="322"/>
    </row>
    <row r="10" spans="1:16" ht="45" customHeight="1">
      <c r="A10" s="692">
        <v>0.41666666666666669</v>
      </c>
      <c r="B10" s="693"/>
      <c r="C10" s="665"/>
      <c r="D10" s="314"/>
      <c r="E10" s="313"/>
      <c r="F10" s="314"/>
      <c r="G10" s="313"/>
      <c r="H10" s="314"/>
      <c r="I10" s="313"/>
      <c r="J10" s="314"/>
      <c r="K10" s="313"/>
      <c r="L10" s="314"/>
      <c r="M10" s="313"/>
      <c r="N10" s="314"/>
      <c r="O10" s="313"/>
      <c r="P10" s="322"/>
    </row>
    <row r="11" spans="1:16" ht="45" customHeight="1">
      <c r="A11" s="692">
        <v>0.45833333333333331</v>
      </c>
      <c r="B11" s="693"/>
      <c r="C11" s="665"/>
      <c r="D11" s="314"/>
      <c r="E11" s="313"/>
      <c r="F11" s="314"/>
      <c r="G11" s="313"/>
      <c r="H11" s="314"/>
      <c r="I11" s="313"/>
      <c r="J11" s="314"/>
      <c r="K11" s="313"/>
      <c r="L11" s="314"/>
      <c r="M11" s="313"/>
      <c r="N11" s="314"/>
      <c r="O11" s="313"/>
      <c r="P11" s="322"/>
    </row>
    <row r="12" spans="1:16" ht="45" customHeight="1" thickBot="1">
      <c r="A12" s="692">
        <v>0.5</v>
      </c>
      <c r="B12" s="693"/>
      <c r="C12" s="667"/>
      <c r="D12" s="314"/>
      <c r="E12" s="313"/>
      <c r="F12" s="314"/>
      <c r="G12" s="313"/>
      <c r="H12" s="314"/>
      <c r="I12" s="313"/>
      <c r="J12" s="314"/>
      <c r="K12" s="313"/>
      <c r="L12" s="314"/>
      <c r="M12" s="313"/>
      <c r="N12" s="314"/>
      <c r="O12" s="313"/>
      <c r="P12" s="322"/>
    </row>
    <row r="13" spans="1:16" ht="41" customHeight="1" thickBot="1">
      <c r="A13" s="692">
        <v>0.52083333333333337</v>
      </c>
      <c r="B13" s="693"/>
      <c r="C13" s="374" t="s">
        <v>46</v>
      </c>
      <c r="D13" s="314"/>
      <c r="E13" s="313"/>
      <c r="F13" s="314"/>
      <c r="G13" s="313"/>
      <c r="H13" s="314"/>
      <c r="I13" s="313"/>
      <c r="J13" s="314"/>
      <c r="K13" s="313"/>
      <c r="L13" s="314"/>
      <c r="M13" s="313"/>
      <c r="N13" s="314"/>
      <c r="O13" s="313"/>
      <c r="P13" s="322"/>
    </row>
    <row r="14" spans="1:16" ht="58" customHeight="1" thickBot="1">
      <c r="A14" s="692">
        <v>0.58333333333333337</v>
      </c>
      <c r="B14" s="693"/>
      <c r="C14" s="702" t="s">
        <v>47</v>
      </c>
      <c r="D14" s="314"/>
      <c r="E14" s="313"/>
      <c r="F14" s="314"/>
      <c r="G14" s="313"/>
      <c r="H14" s="314"/>
      <c r="I14" s="313"/>
      <c r="J14" s="314"/>
      <c r="K14" s="313"/>
      <c r="L14" s="314"/>
      <c r="M14" s="313"/>
      <c r="N14" s="314"/>
      <c r="O14" s="313"/>
      <c r="P14" s="322"/>
    </row>
    <row r="15" spans="1:16" ht="45" customHeight="1">
      <c r="A15" s="692">
        <v>0.625</v>
      </c>
      <c r="B15" s="693"/>
      <c r="C15" s="665"/>
      <c r="D15" s="314"/>
      <c r="E15" s="313"/>
      <c r="F15" s="314"/>
      <c r="G15" s="313"/>
      <c r="H15" s="314"/>
      <c r="I15" s="313"/>
      <c r="J15" s="314"/>
      <c r="K15" s="313"/>
      <c r="L15" s="314"/>
      <c r="M15" s="313"/>
      <c r="N15" s="314"/>
      <c r="O15" s="313"/>
      <c r="P15" s="322"/>
    </row>
    <row r="16" spans="1:16" ht="45" customHeight="1">
      <c r="A16" s="692">
        <v>0.66666666666666663</v>
      </c>
      <c r="B16" s="693"/>
      <c r="C16" s="665"/>
      <c r="D16" s="314"/>
      <c r="E16" s="313"/>
      <c r="F16" s="314"/>
      <c r="G16" s="313"/>
      <c r="H16" s="314"/>
      <c r="I16" s="313"/>
      <c r="J16" s="314"/>
      <c r="K16" s="313"/>
      <c r="L16" s="314"/>
      <c r="M16" s="313"/>
      <c r="N16" s="314"/>
      <c r="O16" s="313"/>
      <c r="P16" s="322"/>
    </row>
    <row r="17" spans="1:24" ht="45" customHeight="1">
      <c r="A17" s="692">
        <v>0.70833333333333337</v>
      </c>
      <c r="B17" s="693"/>
      <c r="C17" s="665"/>
      <c r="D17" s="314"/>
      <c r="E17" s="313"/>
      <c r="F17" s="314"/>
      <c r="G17" s="313"/>
      <c r="H17" s="314"/>
      <c r="I17" s="313"/>
      <c r="J17" s="314"/>
      <c r="K17" s="313"/>
      <c r="L17" s="314"/>
      <c r="M17" s="313"/>
      <c r="N17" s="314"/>
      <c r="O17" s="313"/>
      <c r="P17" s="322"/>
    </row>
    <row r="18" spans="1:24" ht="45" customHeight="1" thickBot="1">
      <c r="A18" s="692">
        <v>0.75</v>
      </c>
      <c r="B18" s="693"/>
      <c r="C18" s="667"/>
      <c r="D18" s="314"/>
      <c r="E18" s="313"/>
      <c r="F18" s="314"/>
      <c r="G18" s="313"/>
      <c r="H18" s="314"/>
      <c r="I18" s="313"/>
      <c r="J18" s="314"/>
      <c r="K18" s="313"/>
      <c r="L18" s="314"/>
      <c r="M18" s="313"/>
      <c r="N18" s="314"/>
      <c r="O18" s="313"/>
      <c r="P18" s="322"/>
    </row>
    <row r="19" spans="1:24" ht="45" customHeight="1" thickBot="1">
      <c r="A19" s="692">
        <v>0.8125</v>
      </c>
      <c r="B19" s="693"/>
      <c r="C19" s="374" t="s">
        <v>48</v>
      </c>
      <c r="D19" s="314"/>
      <c r="E19" s="313"/>
      <c r="F19" s="314"/>
      <c r="G19" s="313"/>
      <c r="H19" s="314"/>
      <c r="I19" s="313"/>
      <c r="J19" s="314"/>
      <c r="K19" s="313"/>
      <c r="L19" s="314"/>
      <c r="M19" s="313"/>
      <c r="N19" s="314"/>
      <c r="O19" s="313"/>
      <c r="P19" s="322"/>
    </row>
    <row r="20" spans="1:24" ht="45" customHeight="1">
      <c r="A20" s="692">
        <v>0.83333333333333337</v>
      </c>
      <c r="B20" s="693"/>
      <c r="C20" s="705" t="s">
        <v>49</v>
      </c>
      <c r="D20" s="313"/>
      <c r="E20" s="313"/>
      <c r="F20" s="313"/>
      <c r="G20" s="313"/>
      <c r="H20" s="313"/>
      <c r="I20" s="313"/>
      <c r="J20" s="313"/>
      <c r="K20" s="313"/>
      <c r="L20" s="313"/>
      <c r="M20" s="313"/>
      <c r="N20" s="313"/>
      <c r="O20" s="313"/>
      <c r="P20" s="322"/>
    </row>
    <row r="21" spans="1:24" ht="45" customHeight="1">
      <c r="A21" s="692">
        <v>0.875</v>
      </c>
      <c r="B21" s="693"/>
      <c r="C21" s="665"/>
      <c r="D21" s="313"/>
      <c r="E21" s="313"/>
      <c r="F21" s="313"/>
      <c r="G21" s="313"/>
      <c r="H21" s="313"/>
      <c r="I21" s="313"/>
      <c r="J21" s="313"/>
      <c r="K21" s="313"/>
      <c r="L21" s="313"/>
      <c r="M21" s="313"/>
      <c r="N21" s="313"/>
      <c r="O21" s="313"/>
      <c r="P21" s="322"/>
    </row>
    <row r="22" spans="1:24" ht="49" customHeight="1">
      <c r="A22" s="692">
        <v>0.91666666666666663</v>
      </c>
      <c r="B22" s="693"/>
      <c r="C22" s="665"/>
      <c r="D22" s="313"/>
      <c r="E22" s="313"/>
      <c r="F22" s="313"/>
      <c r="G22" s="313"/>
      <c r="H22" s="313"/>
      <c r="I22" s="313"/>
      <c r="J22" s="313"/>
      <c r="K22" s="313"/>
      <c r="L22" s="313"/>
      <c r="M22" s="313"/>
      <c r="N22" s="313"/>
      <c r="O22" s="313"/>
      <c r="P22" s="322"/>
    </row>
    <row r="23" spans="1:24" ht="53" customHeight="1" thickBot="1">
      <c r="A23" s="703">
        <v>0.95833333333333337</v>
      </c>
      <c r="B23" s="704"/>
      <c r="C23" s="667"/>
      <c r="D23" s="323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4"/>
    </row>
    <row r="25" spans="1:24" ht="76" customHeight="1">
      <c r="A25" s="700"/>
      <c r="B25" s="701"/>
      <c r="K25" s="375"/>
    </row>
    <row r="27" spans="1:24" ht="31.5" customHeight="1">
      <c r="O27" s="376"/>
    </row>
    <row r="28" spans="1:24" ht="76" customHeight="1">
      <c r="O28" s="376"/>
    </row>
    <row r="29" spans="1:24" s="377" customFormat="1" ht="31.5" customHeight="1">
      <c r="A29" s="365"/>
      <c r="B29" s="365"/>
      <c r="C29" s="365"/>
      <c r="D29" s="365"/>
      <c r="E29" s="365"/>
      <c r="F29" s="365"/>
      <c r="G29" s="365"/>
      <c r="H29" s="365"/>
      <c r="I29" s="365"/>
      <c r="J29" s="365"/>
      <c r="K29" s="365"/>
      <c r="L29" s="365"/>
      <c r="M29" s="365"/>
      <c r="N29" s="365"/>
      <c r="O29" s="376"/>
      <c r="P29" s="365"/>
      <c r="Q29" s="365"/>
      <c r="R29" s="365"/>
      <c r="S29" s="365"/>
      <c r="T29" s="365"/>
      <c r="U29" s="365"/>
      <c r="V29" s="365"/>
      <c r="W29" s="365"/>
      <c r="X29" s="365"/>
    </row>
    <row r="30" spans="1:24" ht="31.5" customHeight="1">
      <c r="O30" s="376"/>
    </row>
    <row r="31" spans="1:24" ht="31.5" customHeight="1">
      <c r="O31" s="376"/>
    </row>
    <row r="32" spans="1:24" ht="31.5" customHeight="1">
      <c r="O32" s="376"/>
    </row>
    <row r="33" spans="1:24" ht="31.5" customHeight="1">
      <c r="O33" s="376"/>
    </row>
    <row r="34" spans="1:24" ht="31.5" customHeight="1">
      <c r="O34" s="376"/>
    </row>
    <row r="35" spans="1:24" ht="31.5" customHeight="1">
      <c r="O35" s="376"/>
    </row>
    <row r="36" spans="1:24" ht="31.5" customHeight="1">
      <c r="O36" s="376"/>
    </row>
    <row r="37" spans="1:24" ht="31.5" customHeight="1">
      <c r="O37" s="376"/>
    </row>
    <row r="38" spans="1:24" ht="31.5" customHeight="1">
      <c r="O38" s="376"/>
    </row>
    <row r="39" spans="1:24" ht="31.5" customHeight="1">
      <c r="O39" s="376"/>
    </row>
    <row r="40" spans="1:24" ht="31.5" customHeight="1">
      <c r="O40" s="376"/>
    </row>
    <row r="41" spans="1:24" ht="31.5" customHeight="1">
      <c r="O41" s="376"/>
    </row>
    <row r="42" spans="1:24" ht="31.5" customHeight="1">
      <c r="O42" s="376"/>
    </row>
    <row r="43" spans="1:24" s="378" customFormat="1" ht="31.5" customHeight="1">
      <c r="A43" s="365"/>
      <c r="B43" s="365"/>
      <c r="C43" s="365"/>
      <c r="D43" s="365"/>
      <c r="E43" s="365"/>
      <c r="F43" s="365"/>
      <c r="G43" s="365"/>
      <c r="H43" s="365"/>
      <c r="I43" s="365"/>
      <c r="J43" s="365"/>
      <c r="K43" s="365"/>
      <c r="L43" s="365"/>
      <c r="M43" s="365"/>
      <c r="N43" s="365"/>
      <c r="O43" s="376"/>
      <c r="P43" s="365"/>
      <c r="Q43" s="365"/>
      <c r="R43" s="365"/>
      <c r="S43" s="365"/>
      <c r="T43" s="365"/>
      <c r="U43" s="365"/>
      <c r="V43" s="365"/>
      <c r="W43" s="365"/>
      <c r="X43" s="365"/>
    </row>
    <row r="44" spans="1:24" ht="31.5" customHeight="1">
      <c r="O44" s="376"/>
    </row>
    <row r="45" spans="1:24" ht="31.5" customHeight="1">
      <c r="O45" s="376"/>
    </row>
    <row r="46" spans="1:24" ht="31.5" customHeight="1">
      <c r="O46" s="376"/>
    </row>
    <row r="77" spans="15:15" ht="31.5" customHeight="1">
      <c r="O77" s="376"/>
    </row>
    <row r="78" spans="15:15" ht="31.5" customHeight="1">
      <c r="O78" s="376"/>
    </row>
    <row r="79" spans="15:15" ht="31.5" customHeight="1">
      <c r="O79" s="376"/>
    </row>
    <row r="80" spans="15:15" ht="31.5" customHeight="1">
      <c r="O80" s="376"/>
    </row>
    <row r="81" spans="15:15" ht="31.5" customHeight="1">
      <c r="O81" s="376"/>
    </row>
    <row r="82" spans="15:15" ht="31.5" customHeight="1">
      <c r="O82" s="376"/>
    </row>
    <row r="83" spans="15:15" ht="31.5" customHeight="1">
      <c r="O83" s="376"/>
    </row>
    <row r="84" spans="15:15" ht="31.5" customHeight="1">
      <c r="O84" s="376"/>
    </row>
    <row r="85" spans="15:15" ht="31.5" customHeight="1">
      <c r="O85" s="376"/>
    </row>
    <row r="86" spans="15:15" ht="31.5" customHeight="1">
      <c r="O86" s="376"/>
    </row>
    <row r="87" spans="15:15" ht="31.5" customHeight="1">
      <c r="O87" s="376"/>
    </row>
    <row r="88" spans="15:15" ht="31.5" customHeight="1">
      <c r="O88" s="376"/>
    </row>
    <row r="89" spans="15:15" ht="31.5" customHeight="1">
      <c r="O89" s="376"/>
    </row>
    <row r="90" spans="15:15" ht="31.5" customHeight="1">
      <c r="O90" s="376"/>
    </row>
    <row r="91" spans="15:15" ht="31.5" customHeight="1">
      <c r="O91" s="376"/>
    </row>
    <row r="92" spans="15:15" ht="31.5" customHeight="1">
      <c r="O92" s="376"/>
    </row>
    <row r="93" spans="15:15" ht="31.5" customHeight="1">
      <c r="O93" s="376"/>
    </row>
    <row r="94" spans="15:15" ht="31.5" customHeight="1">
      <c r="O94" s="376"/>
    </row>
    <row r="95" spans="15:15" ht="31.5" customHeight="1">
      <c r="O95" s="376"/>
    </row>
    <row r="96" spans="15:15" ht="31.5" customHeight="1">
      <c r="O96" s="376"/>
    </row>
    <row r="97" spans="15:15" ht="31.5" customHeight="1">
      <c r="O97" s="376"/>
    </row>
    <row r="98" spans="15:15" ht="31.5" customHeight="1">
      <c r="O98" s="376"/>
    </row>
  </sheetData>
  <sheetProtection sheet="1" objects="1" scenarios="1"/>
  <mergeCells count="26">
    <mergeCell ref="A25:B25"/>
    <mergeCell ref="A18:B18"/>
    <mergeCell ref="A21:B21"/>
    <mergeCell ref="C14:C18"/>
    <mergeCell ref="A23:B23"/>
    <mergeCell ref="A17:B17"/>
    <mergeCell ref="A22:B22"/>
    <mergeCell ref="A20:B20"/>
    <mergeCell ref="A19:B19"/>
    <mergeCell ref="C20:C23"/>
    <mergeCell ref="K2:P2"/>
    <mergeCell ref="A4:B5"/>
    <mergeCell ref="A16:B16"/>
    <mergeCell ref="A7:B7"/>
    <mergeCell ref="A3:B3"/>
    <mergeCell ref="A12:B12"/>
    <mergeCell ref="A2:B2"/>
    <mergeCell ref="A14:B14"/>
    <mergeCell ref="A8:B8"/>
    <mergeCell ref="C7:C12"/>
    <mergeCell ref="A15:B15"/>
    <mergeCell ref="C4:C5"/>
    <mergeCell ref="A11:B11"/>
    <mergeCell ref="A10:B10"/>
    <mergeCell ref="A13:B13"/>
    <mergeCell ref="A9:B9"/>
  </mergeCells>
  <printOptions horizontalCentered="1"/>
  <pageMargins left="0.4" right="0.4" top="0.4" bottom="0.4" header="0.25" footer="0.25"/>
  <pageSetup scale="49" fitToHeight="0" orientation="portrait"/>
  <headerFooter differentFirst="1">
    <oddFooter>&amp;CPage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76"/>
  <sheetViews>
    <sheetView topLeftCell="A53" zoomScale="119" zoomScaleNormal="136" workbookViewId="0">
      <selection activeCell="D73" sqref="D73"/>
    </sheetView>
  </sheetViews>
  <sheetFormatPr baseColWidth="10" defaultRowHeight="17"/>
  <cols>
    <col min="1" max="1" width="48.796875" style="379" customWidth="1"/>
    <col min="2" max="2" width="23.796875" style="380" customWidth="1"/>
    <col min="3" max="3" width="24" style="381" customWidth="1"/>
    <col min="4" max="4" width="29" style="381" customWidth="1"/>
    <col min="5" max="5" width="22.19921875" style="382" customWidth="1"/>
    <col min="6" max="6" width="25.19921875" style="383" customWidth="1"/>
    <col min="7" max="7" width="27.796875" style="384" customWidth="1"/>
    <col min="8" max="8" width="22" style="384" customWidth="1"/>
    <col min="9" max="9" width="31" style="379" customWidth="1"/>
    <col min="10" max="10" width="25.19921875" style="379" customWidth="1"/>
    <col min="11" max="11" width="28.796875" style="379" customWidth="1"/>
    <col min="12" max="12" width="36.19921875" style="379" customWidth="1"/>
    <col min="13" max="28" width="11" style="379" customWidth="1"/>
    <col min="29" max="16384" width="11" style="379"/>
  </cols>
  <sheetData>
    <row r="1" spans="1:16" ht="22" hidden="1" customHeight="1" thickBot="1"/>
    <row r="2" spans="1:16" ht="7" customHeight="1">
      <c r="D2" s="385"/>
    </row>
    <row r="3" spans="1:16" s="389" customFormat="1" ht="1" customHeight="1" thickBot="1">
      <c r="A3" s="386"/>
      <c r="B3" s="387"/>
      <c r="C3" s="388" t="s">
        <v>11</v>
      </c>
      <c r="D3" s="388"/>
      <c r="E3" s="388"/>
      <c r="F3" s="383"/>
      <c r="G3" s="384"/>
      <c r="H3" s="384"/>
    </row>
    <row r="4" spans="1:16" s="391" customFormat="1" ht="33" customHeight="1" thickBot="1">
      <c r="A4" s="707" t="s">
        <v>50</v>
      </c>
      <c r="B4" s="673"/>
      <c r="C4" s="673"/>
      <c r="D4" s="673"/>
      <c r="E4" s="696"/>
      <c r="F4" s="383"/>
      <c r="G4" s="390"/>
      <c r="H4" s="384"/>
      <c r="I4" s="379"/>
      <c r="J4" s="379"/>
      <c r="K4" s="379"/>
      <c r="L4" s="379"/>
      <c r="M4" s="379"/>
      <c r="N4" s="379"/>
      <c r="O4" s="379"/>
      <c r="P4" s="379"/>
    </row>
    <row r="5" spans="1:16" s="389" customFormat="1" ht="40" customHeight="1" thickBot="1">
      <c r="A5" s="392" t="s">
        <v>51</v>
      </c>
      <c r="B5" s="393" t="s">
        <v>52</v>
      </c>
      <c r="C5" s="394" t="s">
        <v>53</v>
      </c>
      <c r="D5" s="395" t="s">
        <v>54</v>
      </c>
      <c r="E5" s="395" t="s">
        <v>55</v>
      </c>
      <c r="F5" s="396"/>
      <c r="G5" s="390"/>
      <c r="H5" s="384"/>
    </row>
    <row r="6" spans="1:16" ht="20" customHeight="1">
      <c r="A6" s="397" t="s">
        <v>56</v>
      </c>
      <c r="B6" s="33">
        <v>0</v>
      </c>
      <c r="C6" s="94">
        <v>22000</v>
      </c>
      <c r="D6" s="398">
        <f t="shared" ref="D6:D23" si="0">(C6*0.2)+C6</f>
        <v>26400</v>
      </c>
      <c r="E6" s="399">
        <f>D6*B6</f>
        <v>0</v>
      </c>
      <c r="F6" s="400" t="s">
        <v>57</v>
      </c>
      <c r="G6" s="401">
        <f>'[1]⚙️ INPUTS'!$B$16</f>
        <v>24000</v>
      </c>
      <c r="H6" s="402">
        <f>'[1]⚙️ INPUTS'!$B$17</f>
        <v>18000</v>
      </c>
    </row>
    <row r="7" spans="1:16" ht="20" customHeight="1">
      <c r="A7" s="34" t="s">
        <v>58</v>
      </c>
      <c r="B7" s="35">
        <v>0</v>
      </c>
      <c r="C7" s="95">
        <v>40000</v>
      </c>
      <c r="D7" s="403">
        <f t="shared" si="0"/>
        <v>48000</v>
      </c>
      <c r="E7" s="404">
        <f t="shared" ref="E7:E21" si="1">B7*D7</f>
        <v>0</v>
      </c>
      <c r="F7" s="405"/>
      <c r="G7" s="406" t="s">
        <v>59</v>
      </c>
      <c r="H7" s="407" t="s">
        <v>60</v>
      </c>
    </row>
    <row r="8" spans="1:16" ht="20" customHeight="1">
      <c r="A8" s="34" t="s">
        <v>61</v>
      </c>
      <c r="B8" s="35">
        <v>0</v>
      </c>
      <c r="C8" s="95">
        <v>40000</v>
      </c>
      <c r="D8" s="403">
        <f t="shared" si="0"/>
        <v>48000</v>
      </c>
      <c r="E8" s="404">
        <f t="shared" si="1"/>
        <v>0</v>
      </c>
      <c r="F8" s="396"/>
      <c r="G8" s="390"/>
    </row>
    <row r="9" spans="1:16" ht="20" customHeight="1">
      <c r="A9" s="34" t="s">
        <v>62</v>
      </c>
      <c r="B9" s="35">
        <v>0</v>
      </c>
      <c r="C9" s="95">
        <v>40000</v>
      </c>
      <c r="D9" s="403">
        <f t="shared" si="0"/>
        <v>48000</v>
      </c>
      <c r="E9" s="404">
        <f t="shared" si="1"/>
        <v>0</v>
      </c>
      <c r="F9" s="396"/>
      <c r="G9" s="390"/>
    </row>
    <row r="10" spans="1:16" ht="20" customHeight="1">
      <c r="A10" s="34" t="s">
        <v>63</v>
      </c>
      <c r="B10" s="35">
        <v>0</v>
      </c>
      <c r="C10" s="95">
        <v>45000</v>
      </c>
      <c r="D10" s="403">
        <f t="shared" si="0"/>
        <v>54000</v>
      </c>
      <c r="E10" s="404">
        <f t="shared" si="1"/>
        <v>0</v>
      </c>
      <c r="F10" s="396"/>
      <c r="G10" s="390"/>
    </row>
    <row r="11" spans="1:16" ht="20" customHeight="1">
      <c r="A11" s="34" t="s">
        <v>189</v>
      </c>
      <c r="B11" s="35">
        <v>0</v>
      </c>
      <c r="C11" s="95">
        <v>50000</v>
      </c>
      <c r="D11" s="403">
        <f t="shared" si="0"/>
        <v>60000</v>
      </c>
      <c r="E11" s="404">
        <f t="shared" si="1"/>
        <v>0</v>
      </c>
      <c r="F11" s="396"/>
      <c r="G11" s="390"/>
    </row>
    <row r="12" spans="1:16" ht="20" customHeight="1">
      <c r="A12" s="34" t="s">
        <v>64</v>
      </c>
      <c r="B12" s="35">
        <v>0</v>
      </c>
      <c r="C12" s="95">
        <v>0</v>
      </c>
      <c r="D12" s="403">
        <f t="shared" si="0"/>
        <v>0</v>
      </c>
      <c r="E12" s="404">
        <f t="shared" si="1"/>
        <v>0</v>
      </c>
      <c r="F12" s="396"/>
      <c r="G12" s="390"/>
    </row>
    <row r="13" spans="1:16" ht="20" customHeight="1">
      <c r="A13" s="34" t="s">
        <v>65</v>
      </c>
      <c r="B13" s="35">
        <v>0</v>
      </c>
      <c r="C13" s="95">
        <v>5000</v>
      </c>
      <c r="D13" s="403">
        <f t="shared" si="0"/>
        <v>6000</v>
      </c>
      <c r="E13" s="404">
        <f t="shared" si="1"/>
        <v>0</v>
      </c>
      <c r="F13" s="396"/>
      <c r="G13" s="390"/>
    </row>
    <row r="14" spans="1:16" ht="20" customHeight="1">
      <c r="A14" s="36" t="s">
        <v>66</v>
      </c>
      <c r="B14" s="37">
        <v>0</v>
      </c>
      <c r="C14" s="96">
        <v>8000</v>
      </c>
      <c r="D14" s="408">
        <f t="shared" si="0"/>
        <v>9600</v>
      </c>
      <c r="E14" s="399">
        <f t="shared" si="1"/>
        <v>0</v>
      </c>
      <c r="F14" s="396"/>
      <c r="G14" s="390"/>
    </row>
    <row r="15" spans="1:16" ht="20" customHeight="1">
      <c r="A15" s="34" t="s">
        <v>190</v>
      </c>
      <c r="B15" s="35">
        <v>0</v>
      </c>
      <c r="C15" s="95">
        <v>70000</v>
      </c>
      <c r="D15" s="403">
        <f t="shared" si="0"/>
        <v>84000</v>
      </c>
      <c r="E15" s="404">
        <f t="shared" si="1"/>
        <v>0</v>
      </c>
      <c r="F15" s="396"/>
      <c r="G15" s="390"/>
    </row>
    <row r="16" spans="1:16" ht="20" customHeight="1">
      <c r="A16" s="34" t="s">
        <v>191</v>
      </c>
      <c r="B16" s="35">
        <v>0</v>
      </c>
      <c r="C16" s="95">
        <v>25000</v>
      </c>
      <c r="D16" s="403">
        <f t="shared" si="0"/>
        <v>30000</v>
      </c>
      <c r="E16" s="404">
        <f t="shared" si="1"/>
        <v>0</v>
      </c>
      <c r="F16" s="396"/>
      <c r="G16" s="390"/>
    </row>
    <row r="17" spans="1:16" ht="20" customHeight="1">
      <c r="A17" s="34" t="s">
        <v>192</v>
      </c>
      <c r="B17" s="35">
        <v>0</v>
      </c>
      <c r="C17" s="95">
        <v>50000</v>
      </c>
      <c r="D17" s="403">
        <f t="shared" si="0"/>
        <v>60000</v>
      </c>
      <c r="E17" s="404">
        <f t="shared" si="1"/>
        <v>0</v>
      </c>
      <c r="F17" s="396"/>
      <c r="G17" s="390"/>
    </row>
    <row r="18" spans="1:16" ht="20" customHeight="1">
      <c r="A18" s="34" t="s">
        <v>193</v>
      </c>
      <c r="B18" s="35">
        <v>0</v>
      </c>
      <c r="C18" s="95">
        <v>65000</v>
      </c>
      <c r="D18" s="403">
        <f t="shared" si="0"/>
        <v>78000</v>
      </c>
      <c r="E18" s="404">
        <f t="shared" si="1"/>
        <v>0</v>
      </c>
      <c r="F18" s="396"/>
      <c r="G18" s="390"/>
    </row>
    <row r="19" spans="1:16" ht="20" customHeight="1">
      <c r="A19" s="34" t="s">
        <v>194</v>
      </c>
      <c r="B19" s="35">
        <v>0</v>
      </c>
      <c r="C19" s="95">
        <v>75000</v>
      </c>
      <c r="D19" s="403">
        <f t="shared" si="0"/>
        <v>90000</v>
      </c>
      <c r="E19" s="404">
        <f t="shared" si="1"/>
        <v>0</v>
      </c>
      <c r="F19" s="396"/>
      <c r="G19" s="390"/>
    </row>
    <row r="20" spans="1:16" ht="20" customHeight="1">
      <c r="A20" s="34" t="s">
        <v>67</v>
      </c>
      <c r="B20" s="35">
        <v>0</v>
      </c>
      <c r="C20" s="95">
        <v>0</v>
      </c>
      <c r="D20" s="403">
        <f t="shared" si="0"/>
        <v>0</v>
      </c>
      <c r="E20" s="404">
        <f t="shared" si="1"/>
        <v>0</v>
      </c>
      <c r="F20" s="396"/>
      <c r="G20" s="390"/>
    </row>
    <row r="21" spans="1:16" ht="20" customHeight="1">
      <c r="A21" s="34" t="s">
        <v>195</v>
      </c>
      <c r="B21" s="35">
        <v>0</v>
      </c>
      <c r="C21" s="95">
        <v>75000</v>
      </c>
      <c r="D21" s="403">
        <f t="shared" si="0"/>
        <v>90000</v>
      </c>
      <c r="E21" s="404">
        <f t="shared" si="1"/>
        <v>0</v>
      </c>
      <c r="F21" s="409"/>
      <c r="G21" s="410" t="s">
        <v>59</v>
      </c>
      <c r="H21" s="411" t="s">
        <v>60</v>
      </c>
    </row>
    <row r="22" spans="1:16" ht="20" customHeight="1">
      <c r="A22" s="412" t="s">
        <v>68</v>
      </c>
      <c r="B22" s="35">
        <v>0</v>
      </c>
      <c r="C22" s="95">
        <v>40000</v>
      </c>
      <c r="D22" s="403">
        <f t="shared" si="0"/>
        <v>48000</v>
      </c>
      <c r="E22" s="404"/>
      <c r="F22" s="413" t="s">
        <v>69</v>
      </c>
      <c r="G22" s="414">
        <v>0</v>
      </c>
      <c r="H22" s="415">
        <v>0</v>
      </c>
    </row>
    <row r="23" spans="1:16" ht="20" customHeight="1" thickBot="1">
      <c r="A23" s="412" t="s">
        <v>70</v>
      </c>
      <c r="B23" s="35">
        <v>0</v>
      </c>
      <c r="C23" s="95">
        <v>50000</v>
      </c>
      <c r="D23" s="403">
        <f t="shared" si="0"/>
        <v>60000</v>
      </c>
      <c r="E23" s="404"/>
      <c r="F23" s="416" t="s">
        <v>71</v>
      </c>
      <c r="G23" s="417">
        <f>'[1]⚙️ INPUTS'!$B$21</f>
        <v>60000</v>
      </c>
      <c r="H23" s="418">
        <f>'[1]⚙️ INPUTS'!$B$22</f>
        <v>36000</v>
      </c>
    </row>
    <row r="24" spans="1:16" ht="29" customHeight="1" thickBot="1">
      <c r="A24" s="712" t="s">
        <v>72</v>
      </c>
      <c r="B24" s="673"/>
      <c r="C24" s="673"/>
      <c r="D24" s="673"/>
      <c r="E24" s="419">
        <f>SUM(E6:E21)</f>
        <v>0</v>
      </c>
      <c r="F24" s="420"/>
      <c r="G24" s="421"/>
    </row>
    <row r="25" spans="1:16" s="391" customFormat="1" ht="11" customHeight="1" thickBot="1">
      <c r="A25" s="422"/>
      <c r="B25" s="423"/>
      <c r="C25" s="424"/>
      <c r="D25" s="381"/>
      <c r="E25" s="381"/>
      <c r="F25" s="383"/>
      <c r="G25" s="390"/>
      <c r="H25" s="384"/>
      <c r="I25" s="379"/>
      <c r="J25" s="379"/>
      <c r="K25" s="379"/>
      <c r="L25" s="379"/>
      <c r="M25" s="379"/>
      <c r="N25" s="379"/>
      <c r="O25" s="379"/>
      <c r="P25" s="379"/>
    </row>
    <row r="26" spans="1:16" ht="34" customHeight="1" thickBot="1">
      <c r="A26" s="425" t="s">
        <v>73</v>
      </c>
      <c r="B26" s="426" t="s">
        <v>52</v>
      </c>
      <c r="C26" s="427" t="s">
        <v>53</v>
      </c>
      <c r="D26" s="427" t="s">
        <v>54</v>
      </c>
      <c r="E26" s="428" t="s">
        <v>55</v>
      </c>
      <c r="F26" s="396"/>
      <c r="G26" s="390"/>
    </row>
    <row r="27" spans="1:16" ht="20" customHeight="1">
      <c r="A27" s="38" t="s">
        <v>74</v>
      </c>
      <c r="B27" s="39">
        <v>0</v>
      </c>
      <c r="C27" s="97">
        <v>0</v>
      </c>
      <c r="D27" s="429">
        <f t="shared" ref="D27:D33" si="2">(C27*0.2)+C27</f>
        <v>0</v>
      </c>
      <c r="E27" s="430">
        <f t="shared" ref="E27:E33" si="3">D27*B27</f>
        <v>0</v>
      </c>
      <c r="F27" s="396"/>
      <c r="G27" s="390"/>
    </row>
    <row r="28" spans="1:16" ht="20" customHeight="1">
      <c r="A28" s="38" t="s">
        <v>74</v>
      </c>
      <c r="B28" s="40">
        <v>0</v>
      </c>
      <c r="C28" s="97">
        <v>0</v>
      </c>
      <c r="D28" s="429">
        <f t="shared" si="2"/>
        <v>0</v>
      </c>
      <c r="E28" s="430">
        <f t="shared" si="3"/>
        <v>0</v>
      </c>
      <c r="F28" s="396"/>
      <c r="G28" s="390"/>
    </row>
    <row r="29" spans="1:16" ht="20" customHeight="1">
      <c r="A29" s="41" t="s">
        <v>75</v>
      </c>
      <c r="B29" s="40">
        <v>0</v>
      </c>
      <c r="C29" s="97">
        <v>2000</v>
      </c>
      <c r="D29" s="429">
        <f t="shared" si="2"/>
        <v>2400</v>
      </c>
      <c r="E29" s="430">
        <f t="shared" si="3"/>
        <v>0</v>
      </c>
      <c r="F29" s="396"/>
      <c r="G29" s="390"/>
    </row>
    <row r="30" spans="1:16" ht="20" customHeight="1">
      <c r="A30" s="41" t="s">
        <v>76</v>
      </c>
      <c r="B30" s="40">
        <v>0</v>
      </c>
      <c r="C30" s="97">
        <v>8000</v>
      </c>
      <c r="D30" s="429">
        <f t="shared" si="2"/>
        <v>9600</v>
      </c>
      <c r="E30" s="430">
        <f t="shared" si="3"/>
        <v>0</v>
      </c>
      <c r="F30" s="396"/>
      <c r="G30" s="390"/>
    </row>
    <row r="31" spans="1:16" ht="20" customHeight="1">
      <c r="A31" s="41" t="s">
        <v>77</v>
      </c>
      <c r="B31" s="40">
        <v>0</v>
      </c>
      <c r="C31" s="97">
        <v>15000</v>
      </c>
      <c r="D31" s="429">
        <f t="shared" si="2"/>
        <v>18000</v>
      </c>
      <c r="E31" s="430">
        <f t="shared" si="3"/>
        <v>0</v>
      </c>
      <c r="F31" s="396"/>
      <c r="G31" s="390"/>
    </row>
    <row r="32" spans="1:16" ht="20" customHeight="1">
      <c r="A32" s="41" t="s">
        <v>78</v>
      </c>
      <c r="B32" s="40">
        <v>0</v>
      </c>
      <c r="C32" s="97">
        <v>5000</v>
      </c>
      <c r="D32" s="429">
        <f t="shared" si="2"/>
        <v>6000</v>
      </c>
      <c r="E32" s="430">
        <f t="shared" si="3"/>
        <v>0</v>
      </c>
      <c r="F32" s="396"/>
      <c r="G32" s="390"/>
    </row>
    <row r="33" spans="1:16" ht="20" customHeight="1" thickBot="1">
      <c r="A33" s="41"/>
      <c r="B33" s="40">
        <v>0</v>
      </c>
      <c r="C33" s="97">
        <v>0</v>
      </c>
      <c r="D33" s="429">
        <f t="shared" si="2"/>
        <v>0</v>
      </c>
      <c r="E33" s="430">
        <f t="shared" si="3"/>
        <v>0</v>
      </c>
      <c r="F33" s="396"/>
      <c r="G33" s="390"/>
    </row>
    <row r="34" spans="1:16" ht="48" customHeight="1" thickBot="1">
      <c r="A34" s="710" t="s">
        <v>79</v>
      </c>
      <c r="B34" s="673"/>
      <c r="C34" s="673"/>
      <c r="D34" s="673"/>
      <c r="E34" s="431">
        <f>SUM(E27:E33)</f>
        <v>0</v>
      </c>
      <c r="F34" s="420"/>
      <c r="G34" s="421"/>
    </row>
    <row r="35" spans="1:16" s="391" customFormat="1" ht="11" customHeight="1" thickBot="1">
      <c r="A35" s="422"/>
      <c r="B35" s="423"/>
      <c r="C35" s="424"/>
      <c r="D35" s="381"/>
      <c r="E35" s="381"/>
      <c r="F35" s="383"/>
      <c r="G35" s="390"/>
      <c r="H35" s="384"/>
      <c r="I35" s="379"/>
      <c r="J35" s="379"/>
      <c r="K35" s="379"/>
      <c r="L35" s="379"/>
      <c r="M35" s="379"/>
      <c r="N35" s="379"/>
      <c r="O35" s="379"/>
      <c r="P35" s="379"/>
    </row>
    <row r="36" spans="1:16" s="389" customFormat="1" ht="42" customHeight="1">
      <c r="A36" s="432" t="s">
        <v>80</v>
      </c>
      <c r="B36" s="433" t="s">
        <v>52</v>
      </c>
      <c r="C36" s="434" t="s">
        <v>53</v>
      </c>
      <c r="D36" s="434" t="s">
        <v>54</v>
      </c>
      <c r="E36" s="434" t="s">
        <v>55</v>
      </c>
      <c r="F36" s="383"/>
      <c r="G36" s="384"/>
      <c r="H36" s="384"/>
    </row>
    <row r="37" spans="1:16" ht="20" customHeight="1">
      <c r="A37" s="471" t="s">
        <v>81</v>
      </c>
      <c r="B37" s="472">
        <v>0</v>
      </c>
      <c r="C37" s="473">
        <v>12000</v>
      </c>
      <c r="D37" s="435">
        <f t="shared" ref="D37:D46" si="4">C37*0.2+C37</f>
        <v>14400</v>
      </c>
      <c r="E37" s="435">
        <f t="shared" ref="E37:E46" si="5">D37*B37</f>
        <v>0</v>
      </c>
    </row>
    <row r="38" spans="1:16" ht="20" customHeight="1">
      <c r="A38" s="309" t="s">
        <v>182</v>
      </c>
      <c r="B38" s="310">
        <v>0</v>
      </c>
      <c r="C38" s="311">
        <v>60000</v>
      </c>
      <c r="D38" s="436">
        <f t="shared" si="4"/>
        <v>72000</v>
      </c>
      <c r="E38" s="436">
        <f t="shared" si="5"/>
        <v>0</v>
      </c>
    </row>
    <row r="39" spans="1:16" ht="20" customHeight="1">
      <c r="A39" s="312" t="s">
        <v>183</v>
      </c>
      <c r="B39" s="310">
        <v>0</v>
      </c>
      <c r="C39" s="311">
        <v>90000</v>
      </c>
      <c r="D39" s="436">
        <f t="shared" si="4"/>
        <v>108000</v>
      </c>
      <c r="E39" s="436">
        <f t="shared" si="5"/>
        <v>0</v>
      </c>
    </row>
    <row r="40" spans="1:16" ht="20" customHeight="1">
      <c r="A40" s="312" t="s">
        <v>82</v>
      </c>
      <c r="B40" s="310">
        <v>0</v>
      </c>
      <c r="C40" s="311">
        <v>60000</v>
      </c>
      <c r="D40" s="436">
        <f t="shared" si="4"/>
        <v>72000</v>
      </c>
      <c r="E40" s="436">
        <f t="shared" si="5"/>
        <v>0</v>
      </c>
    </row>
    <row r="41" spans="1:16" ht="20" customHeight="1">
      <c r="A41" s="309" t="s">
        <v>184</v>
      </c>
      <c r="B41" s="310">
        <v>0</v>
      </c>
      <c r="C41" s="311">
        <v>75000</v>
      </c>
      <c r="D41" s="436">
        <f t="shared" si="4"/>
        <v>90000</v>
      </c>
      <c r="E41" s="436">
        <f t="shared" si="5"/>
        <v>0</v>
      </c>
    </row>
    <row r="42" spans="1:16" ht="20" customHeight="1">
      <c r="A42" s="309" t="s">
        <v>185</v>
      </c>
      <c r="B42" s="310">
        <v>0</v>
      </c>
      <c r="C42" s="311">
        <v>110000</v>
      </c>
      <c r="D42" s="436">
        <f t="shared" si="4"/>
        <v>132000</v>
      </c>
      <c r="E42" s="436">
        <f t="shared" si="5"/>
        <v>0</v>
      </c>
    </row>
    <row r="43" spans="1:16" ht="20" customHeight="1">
      <c r="A43" s="309" t="s">
        <v>186</v>
      </c>
      <c r="B43" s="310">
        <v>0</v>
      </c>
      <c r="C43" s="311">
        <v>90000</v>
      </c>
      <c r="D43" s="436">
        <f t="shared" si="4"/>
        <v>108000</v>
      </c>
      <c r="E43" s="436">
        <f t="shared" si="5"/>
        <v>0</v>
      </c>
    </row>
    <row r="44" spans="1:16" ht="20" customHeight="1">
      <c r="A44" s="309" t="s">
        <v>187</v>
      </c>
      <c r="B44" s="310">
        <v>0</v>
      </c>
      <c r="C44" s="311">
        <v>140000</v>
      </c>
      <c r="D44" s="436">
        <f t="shared" si="4"/>
        <v>168000</v>
      </c>
      <c r="E44" s="436">
        <f t="shared" si="5"/>
        <v>0</v>
      </c>
    </row>
    <row r="45" spans="1:16" ht="20" customHeight="1">
      <c r="A45" s="309" t="s">
        <v>188</v>
      </c>
      <c r="B45" s="310">
        <v>0</v>
      </c>
      <c r="C45" s="311">
        <v>120000</v>
      </c>
      <c r="D45" s="436">
        <f t="shared" si="4"/>
        <v>144000</v>
      </c>
      <c r="E45" s="436">
        <f t="shared" si="5"/>
        <v>0</v>
      </c>
    </row>
    <row r="46" spans="1:16" ht="20" customHeight="1">
      <c r="A46" s="309" t="s">
        <v>83</v>
      </c>
      <c r="B46" s="310">
        <v>0</v>
      </c>
      <c r="C46" s="311">
        <v>30000</v>
      </c>
      <c r="D46" s="436">
        <f t="shared" si="4"/>
        <v>36000</v>
      </c>
      <c r="E46" s="436">
        <f t="shared" si="5"/>
        <v>0</v>
      </c>
    </row>
    <row r="47" spans="1:16" ht="48" customHeight="1" thickBot="1">
      <c r="A47" s="713" t="s">
        <v>84</v>
      </c>
      <c r="B47" s="714"/>
      <c r="C47" s="714"/>
      <c r="D47" s="714"/>
      <c r="E47" s="437">
        <f>SUM(E37:E46)</f>
        <v>0</v>
      </c>
      <c r="F47" s="420"/>
      <c r="G47" s="421"/>
    </row>
    <row r="48" spans="1:16" s="391" customFormat="1" ht="11" customHeight="1" thickBot="1">
      <c r="A48" s="422"/>
      <c r="B48" s="423"/>
      <c r="C48" s="424"/>
      <c r="D48" s="381"/>
      <c r="E48" s="381"/>
      <c r="F48" s="383"/>
      <c r="G48" s="390"/>
      <c r="H48" s="384"/>
      <c r="I48" s="379"/>
      <c r="J48" s="379"/>
      <c r="K48" s="379"/>
      <c r="L48" s="379"/>
      <c r="M48" s="379"/>
      <c r="N48" s="379"/>
      <c r="O48" s="379"/>
      <c r="P48" s="379"/>
    </row>
    <row r="49" spans="1:16" ht="37" customHeight="1" thickBot="1">
      <c r="A49" s="438" t="s">
        <v>85</v>
      </c>
      <c r="B49" s="439" t="s">
        <v>52</v>
      </c>
      <c r="C49" s="440" t="s">
        <v>53</v>
      </c>
      <c r="D49" s="440" t="s">
        <v>54</v>
      </c>
      <c r="E49" s="441" t="s">
        <v>55</v>
      </c>
    </row>
    <row r="50" spans="1:16" ht="20" customHeight="1">
      <c r="A50" s="42" t="s">
        <v>86</v>
      </c>
      <c r="B50" s="43">
        <v>0</v>
      </c>
      <c r="C50" s="98">
        <v>80000</v>
      </c>
      <c r="D50" s="442">
        <f>C50*0.2+C50</f>
        <v>96000</v>
      </c>
      <c r="E50" s="443">
        <f>D50*B50</f>
        <v>0</v>
      </c>
    </row>
    <row r="51" spans="1:16" ht="20" customHeight="1">
      <c r="A51" s="42" t="s">
        <v>87</v>
      </c>
      <c r="B51" s="43">
        <v>0</v>
      </c>
      <c r="C51" s="98">
        <v>80000</v>
      </c>
      <c r="D51" s="442">
        <f>C51*0.2+C51</f>
        <v>96000</v>
      </c>
      <c r="E51" s="443">
        <f>D51*B51</f>
        <v>0</v>
      </c>
    </row>
    <row r="52" spans="1:16" ht="20" customHeight="1">
      <c r="A52" s="42" t="s">
        <v>88</v>
      </c>
      <c r="B52" s="43">
        <v>0</v>
      </c>
      <c r="C52" s="98">
        <v>18000</v>
      </c>
      <c r="D52" s="442">
        <f>C52*0.2+C52</f>
        <v>21600</v>
      </c>
      <c r="E52" s="443">
        <f>D52*B52</f>
        <v>0</v>
      </c>
    </row>
    <row r="53" spans="1:16" ht="20" customHeight="1">
      <c r="A53" s="42" t="s">
        <v>181</v>
      </c>
      <c r="B53" s="43">
        <v>0</v>
      </c>
      <c r="C53" s="98">
        <v>150000</v>
      </c>
      <c r="D53" s="442">
        <f>C53*0.2+C53</f>
        <v>180000</v>
      </c>
      <c r="E53" s="443">
        <f>D53*B53</f>
        <v>0</v>
      </c>
    </row>
    <row r="54" spans="1:16" ht="20" customHeight="1" thickBot="1">
      <c r="A54" s="42" t="s">
        <v>180</v>
      </c>
      <c r="B54" s="43">
        <v>0</v>
      </c>
      <c r="C54" s="98">
        <v>0</v>
      </c>
      <c r="D54" s="442">
        <f>C54*0.2+C54</f>
        <v>0</v>
      </c>
      <c r="E54" s="443">
        <f>D54*B54</f>
        <v>0</v>
      </c>
    </row>
    <row r="55" spans="1:16" ht="44" customHeight="1" thickBot="1">
      <c r="A55" s="711" t="s">
        <v>89</v>
      </c>
      <c r="B55" s="673"/>
      <c r="C55" s="673"/>
      <c r="D55" s="673"/>
      <c r="E55" s="444">
        <f>SUM(E50:E54)</f>
        <v>0</v>
      </c>
      <c r="F55" s="420"/>
      <c r="G55" s="421"/>
    </row>
    <row r="56" spans="1:16" s="391" customFormat="1" ht="11" customHeight="1" thickBot="1">
      <c r="A56" s="422"/>
      <c r="B56" s="423"/>
      <c r="C56" s="424"/>
      <c r="D56" s="381"/>
      <c r="E56" s="381"/>
      <c r="F56" s="383"/>
      <c r="G56" s="390"/>
      <c r="H56" s="384"/>
      <c r="I56" s="379"/>
      <c r="J56" s="379"/>
      <c r="K56" s="379"/>
      <c r="L56" s="379"/>
      <c r="M56" s="379"/>
      <c r="N56" s="379"/>
      <c r="O56" s="379"/>
      <c r="P56" s="379"/>
    </row>
    <row r="57" spans="1:16" s="450" customFormat="1" ht="42" customHeight="1" thickBot="1">
      <c r="A57" s="445" t="s">
        <v>90</v>
      </c>
      <c r="B57" s="446" t="s">
        <v>52</v>
      </c>
      <c r="C57" s="447" t="s">
        <v>53</v>
      </c>
      <c r="D57" s="447" t="s">
        <v>54</v>
      </c>
      <c r="E57" s="448" t="s">
        <v>55</v>
      </c>
      <c r="F57" s="383"/>
      <c r="G57" s="449"/>
      <c r="H57" s="449"/>
      <c r="I57" s="449"/>
      <c r="J57" s="449"/>
      <c r="K57" s="449"/>
    </row>
    <row r="58" spans="1:16" ht="20" customHeight="1">
      <c r="A58" s="44" t="s">
        <v>178</v>
      </c>
      <c r="B58" s="45">
        <v>0</v>
      </c>
      <c r="C58" s="99">
        <v>3415000</v>
      </c>
      <c r="D58" s="451">
        <f>(C58*0.15)+C58</f>
        <v>3927250</v>
      </c>
      <c r="E58" s="452">
        <f>D58*B58</f>
        <v>0</v>
      </c>
      <c r="I58" s="453"/>
      <c r="J58" s="453"/>
      <c r="K58" s="453"/>
    </row>
    <row r="59" spans="1:16" ht="20" customHeight="1">
      <c r="A59" s="44" t="s">
        <v>179</v>
      </c>
      <c r="B59" s="45">
        <v>0</v>
      </c>
      <c r="C59" s="99">
        <v>180000</v>
      </c>
      <c r="D59" s="451">
        <f>(C59*0.2)+C59</f>
        <v>216000</v>
      </c>
      <c r="E59" s="452">
        <f>D59*B59</f>
        <v>0</v>
      </c>
    </row>
    <row r="60" spans="1:16" ht="20" customHeight="1" thickBot="1">
      <c r="A60" s="44"/>
      <c r="B60" s="45">
        <v>0</v>
      </c>
      <c r="C60" s="99">
        <v>20000</v>
      </c>
      <c r="D60" s="451">
        <f>(C60*0.2)+C60</f>
        <v>24000</v>
      </c>
      <c r="E60" s="452">
        <f>D60*B60</f>
        <v>0</v>
      </c>
    </row>
    <row r="61" spans="1:16" ht="41" customHeight="1" thickBot="1">
      <c r="A61" s="708" t="s">
        <v>18</v>
      </c>
      <c r="B61" s="673"/>
      <c r="C61" s="673"/>
      <c r="D61" s="673"/>
      <c r="E61" s="454">
        <f>SUM(E58:E60)</f>
        <v>0</v>
      </c>
    </row>
    <row r="62" spans="1:16" s="391" customFormat="1" ht="11" customHeight="1" thickBot="1">
      <c r="A62" s="422"/>
      <c r="B62" s="423"/>
      <c r="C62" s="424"/>
      <c r="D62" s="381"/>
      <c r="E62" s="381"/>
      <c r="F62" s="383"/>
      <c r="G62" s="390"/>
      <c r="H62" s="384"/>
      <c r="I62" s="379"/>
      <c r="J62" s="379"/>
      <c r="K62" s="379"/>
      <c r="L62" s="379"/>
      <c r="M62" s="379"/>
      <c r="N62" s="379"/>
      <c r="O62" s="379"/>
      <c r="P62" s="379"/>
    </row>
    <row r="63" spans="1:16" ht="38" customHeight="1" thickBot="1">
      <c r="A63" s="455" t="s">
        <v>91</v>
      </c>
      <c r="B63" s="456" t="s">
        <v>92</v>
      </c>
      <c r="C63" s="457" t="s">
        <v>93</v>
      </c>
      <c r="D63" s="457" t="s">
        <v>94</v>
      </c>
      <c r="E63" s="458" t="s">
        <v>55</v>
      </c>
      <c r="F63" s="420"/>
      <c r="G63" s="421"/>
    </row>
    <row r="64" spans="1:16" ht="20" customHeight="1">
      <c r="A64" s="46" t="s">
        <v>95</v>
      </c>
      <c r="B64" s="47">
        <v>0</v>
      </c>
      <c r="C64" s="100">
        <v>50000</v>
      </c>
      <c r="D64" s="459">
        <f>((C64*0.2)+C64)*CALENDAR!$J$2</f>
        <v>0</v>
      </c>
      <c r="E64" s="460">
        <f t="shared" ref="E64:E69" si="6">D64*B64</f>
        <v>0</v>
      </c>
    </row>
    <row r="65" spans="1:16" ht="20" customHeight="1">
      <c r="A65" s="46" t="s">
        <v>96</v>
      </c>
      <c r="B65" s="47">
        <v>0</v>
      </c>
      <c r="C65" s="100">
        <v>50000</v>
      </c>
      <c r="D65" s="459">
        <f>((C65*0.2)+C65)*CALENDAR!$J$2</f>
        <v>0</v>
      </c>
      <c r="E65" s="460">
        <f t="shared" si="6"/>
        <v>0</v>
      </c>
    </row>
    <row r="66" spans="1:16" ht="20" customHeight="1">
      <c r="A66" s="46" t="s">
        <v>97</v>
      </c>
      <c r="B66" s="47">
        <v>0</v>
      </c>
      <c r="C66" s="100">
        <v>40000</v>
      </c>
      <c r="D66" s="459">
        <f>((C66*0.2)+C66)*CALENDAR!$J$2</f>
        <v>0</v>
      </c>
      <c r="E66" s="460">
        <f t="shared" si="6"/>
        <v>0</v>
      </c>
    </row>
    <row r="67" spans="1:16" ht="20" customHeight="1">
      <c r="A67" s="46" t="s">
        <v>98</v>
      </c>
      <c r="B67" s="48">
        <v>0</v>
      </c>
      <c r="C67" s="100">
        <v>30000</v>
      </c>
      <c r="D67" s="459">
        <f>((C67*0.2)+C67)*CALENDAR!$J$2</f>
        <v>0</v>
      </c>
      <c r="E67" s="460">
        <f t="shared" si="6"/>
        <v>0</v>
      </c>
    </row>
    <row r="68" spans="1:16" ht="20" customHeight="1">
      <c r="A68" s="46" t="s">
        <v>99</v>
      </c>
      <c r="B68" s="47">
        <v>0</v>
      </c>
      <c r="C68" s="100">
        <v>15000</v>
      </c>
      <c r="D68" s="459">
        <f>((C68*0.2)+C68)*CALENDAR!$J$2</f>
        <v>0</v>
      </c>
      <c r="E68" s="460">
        <f t="shared" si="6"/>
        <v>0</v>
      </c>
    </row>
    <row r="69" spans="1:16" ht="20" customHeight="1" thickBot="1">
      <c r="A69" s="46" t="s">
        <v>100</v>
      </c>
      <c r="B69" s="47">
        <v>0</v>
      </c>
      <c r="C69" s="100">
        <v>30000</v>
      </c>
      <c r="D69" s="459">
        <f>((C69*0.2)+C69)*CALENDAR!$J$2</f>
        <v>0</v>
      </c>
      <c r="E69" s="460">
        <f t="shared" si="6"/>
        <v>0</v>
      </c>
    </row>
    <row r="70" spans="1:16" ht="41" customHeight="1" thickBot="1">
      <c r="A70" s="706" t="s">
        <v>101</v>
      </c>
      <c r="B70" s="673"/>
      <c r="C70" s="673"/>
      <c r="D70" s="673"/>
      <c r="E70" s="461">
        <f>SUM(E64:E69)</f>
        <v>0</v>
      </c>
    </row>
    <row r="71" spans="1:16" s="391" customFormat="1" ht="11" customHeight="1" thickBot="1">
      <c r="A71" s="422"/>
      <c r="B71" s="423"/>
      <c r="C71" s="424"/>
      <c r="D71" s="381"/>
      <c r="E71" s="381"/>
      <c r="F71" s="383"/>
      <c r="G71" s="390"/>
      <c r="H71" s="384"/>
      <c r="I71" s="379"/>
      <c r="J71" s="379"/>
      <c r="K71" s="379"/>
      <c r="L71" s="379"/>
      <c r="M71" s="379"/>
      <c r="N71" s="379"/>
      <c r="O71" s="379"/>
      <c r="P71" s="379"/>
    </row>
    <row r="72" spans="1:16" ht="38" customHeight="1" thickBot="1">
      <c r="A72" s="462" t="s">
        <v>102</v>
      </c>
      <c r="B72" s="463" t="s">
        <v>92</v>
      </c>
      <c r="C72" s="464" t="s">
        <v>53</v>
      </c>
      <c r="D72" s="464" t="s">
        <v>54</v>
      </c>
      <c r="E72" s="465" t="s">
        <v>55</v>
      </c>
      <c r="F72" s="420"/>
      <c r="G72" s="421"/>
    </row>
    <row r="73" spans="1:16" ht="23" customHeight="1" thickBot="1">
      <c r="A73" s="49" t="s">
        <v>103</v>
      </c>
      <c r="B73" s="50">
        <v>0</v>
      </c>
      <c r="C73" s="101">
        <v>15000</v>
      </c>
      <c r="D73" s="466">
        <f>C73+(C73*0.2)</f>
        <v>18000</v>
      </c>
      <c r="E73" s="467">
        <f>D73*B73</f>
        <v>0</v>
      </c>
      <c r="F73" s="396"/>
      <c r="G73" s="390"/>
    </row>
    <row r="74" spans="1:16" ht="42" customHeight="1" thickBot="1">
      <c r="A74" s="709" t="s">
        <v>104</v>
      </c>
      <c r="B74" s="673"/>
      <c r="C74" s="673"/>
      <c r="D74" s="673"/>
      <c r="E74" s="468">
        <f>E73</f>
        <v>0</v>
      </c>
    </row>
    <row r="75" spans="1:16" s="470" customFormat="1" ht="20" customHeight="1">
      <c r="A75" s="469"/>
      <c r="B75" s="380"/>
      <c r="C75" s="382"/>
      <c r="D75" s="382"/>
      <c r="E75" s="382"/>
      <c r="F75" s="383"/>
      <c r="G75" s="384"/>
      <c r="H75" s="384"/>
      <c r="I75" s="379"/>
      <c r="J75" s="379"/>
      <c r="K75" s="379"/>
      <c r="L75" s="379"/>
      <c r="M75" s="379"/>
      <c r="N75" s="379"/>
      <c r="O75" s="379"/>
      <c r="P75" s="379"/>
    </row>
    <row r="76" spans="1:16" ht="9" customHeight="1"/>
  </sheetData>
  <sheetProtection sheet="1" objects="1" scenarios="1"/>
  <mergeCells count="8">
    <mergeCell ref="A70:D70"/>
    <mergeCell ref="A4:E4"/>
    <mergeCell ref="A61:D61"/>
    <mergeCell ref="A74:D74"/>
    <mergeCell ref="A34:D34"/>
    <mergeCell ref="A55:D55"/>
    <mergeCell ref="A24:D24"/>
    <mergeCell ref="A47:D47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Y96"/>
  <sheetViews>
    <sheetView tabSelected="1" topLeftCell="A2" zoomScale="75" zoomScaleNormal="80" workbookViewId="0">
      <selection activeCell="G24" sqref="G24"/>
    </sheetView>
  </sheetViews>
  <sheetFormatPr baseColWidth="10" defaultColWidth="11" defaultRowHeight="17"/>
  <cols>
    <col min="1" max="1" width="1.3984375" style="7" customWidth="1"/>
    <col min="2" max="2" width="37.59765625" style="6" customWidth="1"/>
    <col min="3" max="3" width="27" style="8" customWidth="1"/>
    <col min="4" max="4" width="21.796875" style="474" customWidth="1"/>
    <col min="5" max="5" width="30.59765625" style="6" customWidth="1"/>
    <col min="6" max="6" width="27" style="8" customWidth="1"/>
    <col min="7" max="7" width="25.59765625" style="474" customWidth="1"/>
    <col min="8" max="8" width="24" style="474" customWidth="1"/>
    <col width="27" customWidth="1" style="8" min="9" max="9"/>
    <col width="27" customWidth="1" style="8" min="10" max="10"/>
    <col min="11" max="11" width="25.796875" style="7" customWidth="1"/>
    <col min="12" max="12" width="25.796875" style="474" customWidth="1"/>
    <col min="13" max="13" width="24.3984375" style="474" customWidth="1"/>
    <col width="27" customWidth="1" style="8" min="14" max="14"/>
    <col width="27" customWidth="1" style="8" min="15" max="15"/>
    <col width="27" customWidth="1" style="8" min="16" max="16"/>
    <col width="27" customWidth="1" style="8" min="17" max="17"/>
    <col width="27" customWidth="1" style="8" min="18" max="18"/>
    <col width="27" customWidth="1" style="8" min="19" max="19"/>
    <col width="27" customWidth="1" style="8" min="20" max="20"/>
    <col width="27" customWidth="1" style="8" min="21" max="21"/>
    <col min="22" max="22" width="24.19921875" style="474" customWidth="1"/>
    <col min="23" max="23" width="24.19921875" style="7" customWidth="1"/>
    <col min="24" max="24" width="21.59765625" style="7" customWidth="1"/>
    <col min="25" max="25" width="25.796875" style="7" customWidth="1"/>
    <col min="26" max="27" width="25.796875" style="7" customWidth="1"/>
    <col min="28" max="34" width="11" style="7" customWidth="1"/>
    <col min="35" max="16384" width="11" style="7"/>
  </cols>
  <sheetData>
    <row r="1" spans="2:24" ht="22" hidden="1" customHeight="1" thickBot="1"/>
    <row r="2" spans="2:24" s="10" customFormat="1" ht="1" customHeight="1" thickBot="1">
      <c r="B2" s="9"/>
      <c r="E2" s="9"/>
      <c r="H2" s="9"/>
      <c r="N2" s="9"/>
    </row>
    <row r="3" spans="2:24" s="10" customFormat="1" ht="69" customHeight="1" thickBot="1">
      <c r="B3" s="475"/>
      <c r="C3" s="476" t="str">
        <f>CALENDAR!A2</f>
        <v>CHECK IN</v>
      </c>
      <c r="D3" s="477">
        <f>CALENDAR!C2</f>
        <v>0</v>
      </c>
      <c r="E3" s="477"/>
      <c r="F3" s="478" t="s">
        <v>0</v>
      </c>
      <c r="G3" s="479">
        <f>CALENDAR!C3+1</f>
        <v>1</v>
      </c>
      <c r="H3" s="479"/>
      <c r="J3" s="480"/>
      <c r="K3" s="481" t="str">
        <f>CALENDAR!I2</f>
        <v>NIGHTS</v>
      </c>
      <c r="L3" s="482">
        <f>CALENDAR!J2</f>
        <v>0</v>
      </c>
      <c r="M3" s="483">
        <f>CALENDAR!J2</f>
        <v>0</v>
      </c>
      <c r="N3" s="718" t="str">
        <f>CALENDAR!K2</f>
        <v>NOME CLIENTE | PROGRAMA</v>
      </c>
      <c r="O3" s="673"/>
      <c r="P3" s="673"/>
      <c r="Q3" s="673"/>
      <c r="R3" s="673"/>
      <c r="S3" s="673"/>
      <c r="T3" s="673"/>
      <c r="U3" s="673"/>
      <c r="V3" s="673"/>
      <c r="W3" s="673"/>
      <c r="X3" s="673"/>
      <c r="Y3" s="673"/>
    </row>
    <row r="4" spans="2:24" s="8" customFormat="1" ht="32" customHeight="1" thickBot="1">
      <c r="B4" s="484"/>
      <c r="C4" s="485" t="s">
        <v>1</v>
      </c>
      <c r="D4" s="485" t="s">
        <v>1</v>
      </c>
      <c r="E4" s="486" t="s">
        <v>1</v>
      </c>
      <c r="F4" s="485" t="s">
        <v>1</v>
      </c>
      <c r="G4" s="485" t="s">
        <v>1</v>
      </c>
      <c r="H4" s="486" t="s">
        <v>1</v>
      </c>
      <c r="I4" s="486" t="s">
        <v>1</v>
      </c>
      <c r="J4" s="485" t="s">
        <v>1</v>
      </c>
      <c r="K4" s="485" t="s">
        <v>1</v>
      </c>
      <c r="L4" s="486" t="s">
        <v>1</v>
      </c>
      <c r="M4" s="485" t="s">
        <v>1</v>
      </c>
      <c r="N4" s="486" t="s">
        <v>1</v>
      </c>
      <c r="O4" s="485" t="s">
        <v>1</v>
      </c>
      <c r="P4" s="485" t="s">
        <v>1</v>
      </c>
      <c r="Q4" s="485" t="s">
        <v>1</v>
      </c>
      <c r="R4" s="485" t="s">
        <v>1</v>
      </c>
      <c r="S4" s="485" t="s">
        <v>1</v>
      </c>
      <c r="T4" s="485" t="s">
        <v>1</v>
      </c>
      <c r="U4" s="485" t="s">
        <v>1</v>
      </c>
      <c r="V4" s="485" t="s">
        <v>1</v>
      </c>
      <c r="W4" s="485" t="s">
        <v>1</v>
      </c>
      <c r="X4" s="486" t="s">
        <v>1</v>
      </c>
      <c r="Y4" s="486" t="s">
        <v>1</v>
      </c>
    </row>
    <row r="5" spans="2:24" s="489" customFormat="1" ht="40" customHeight="1" thickBot="1">
      <c r="B5" s="715"/>
      <c r="C5" s="487">
        <v>1</v>
      </c>
      <c r="D5" s="487">
        <v>2</v>
      </c>
      <c r="E5" s="488" t="s">
        <v>2</v>
      </c>
      <c r="F5" s="487">
        <v>1</v>
      </c>
      <c r="G5" s="487">
        <v>2</v>
      </c>
      <c r="H5" s="488" t="s">
        <v>2</v>
      </c>
      <c r="I5" s="488" t="s">
        <v>4</v>
      </c>
      <c r="J5" s="487">
        <v>1</v>
      </c>
      <c r="K5" s="487">
        <v>2</v>
      </c>
      <c r="L5" s="488" t="s">
        <v>3</v>
      </c>
      <c r="M5" s="487" t="s">
        <v>2</v>
      </c>
      <c r="N5" s="488" t="s">
        <v>4</v>
      </c>
      <c r="O5" s="487">
        <v>1</v>
      </c>
      <c r="P5" s="487">
        <v>2</v>
      </c>
      <c r="Q5" s="487" t="s">
        <v>2</v>
      </c>
      <c r="R5" s="487" t="s">
        <v>4</v>
      </c>
      <c r="S5" s="487" t="s">
        <v>5</v>
      </c>
      <c r="T5" s="487">
        <v>3</v>
      </c>
      <c r="U5" s="487" t="s">
        <v>6</v>
      </c>
      <c r="V5" s="487" t="s">
        <v>7</v>
      </c>
      <c r="W5" s="487">
        <v>4</v>
      </c>
      <c r="X5" s="488" t="s">
        <v>8</v>
      </c>
      <c r="Y5" s="488">
        <v>5</v>
      </c>
    </row>
    <row r="6" spans="2:24" s="489" customFormat="1" ht="40" hidden="1" customHeight="1" thickBot="1">
      <c r="B6" s="716"/>
      <c r="C6" s="490">
        <v>1</v>
      </c>
      <c r="D6" s="491">
        <v>2</v>
      </c>
      <c r="E6" s="492">
        <v>3</v>
      </c>
      <c r="F6" s="491">
        <v>1</v>
      </c>
      <c r="G6" s="491">
        <v>2</v>
      </c>
      <c r="H6" s="492">
        <v>3</v>
      </c>
      <c r="I6" s="488">
        <v>4</v>
      </c>
      <c r="J6" s="491">
        <v>1</v>
      </c>
      <c r="K6" s="491">
        <v>2</v>
      </c>
      <c r="L6" s="488">
        <v>3</v>
      </c>
      <c r="M6" s="487">
        <v>3</v>
      </c>
      <c r="N6" s="488">
        <v>4</v>
      </c>
      <c r="O6" s="491">
        <v>1</v>
      </c>
      <c r="P6" s="491">
        <v>2</v>
      </c>
      <c r="Q6" s="487">
        <v>3</v>
      </c>
      <c r="R6" s="491">
        <v>4</v>
      </c>
      <c r="S6" s="491">
        <v>5</v>
      </c>
      <c r="T6" s="491">
        <v>3</v>
      </c>
      <c r="U6" s="491">
        <v>4</v>
      </c>
      <c r="V6" s="491">
        <v>5</v>
      </c>
      <c r="W6" s="491">
        <v>4</v>
      </c>
      <c r="X6" s="492">
        <v>5</v>
      </c>
      <c r="Y6" s="492">
        <v>5</v>
      </c>
    </row>
    <row r="7" spans="2:24" s="8" customFormat="1" ht="32" customHeight="1" thickBot="1">
      <c r="B7" s="716"/>
      <c r="C7" s="717" t="s">
        <v>9</v>
      </c>
      <c r="D7" s="673"/>
      <c r="E7" s="673"/>
      <c r="F7" s="673"/>
      <c r="G7" s="673"/>
      <c r="H7" s="673"/>
      <c r="I7" s="673"/>
      <c r="J7" s="673"/>
      <c r="K7" s="673"/>
      <c r="L7" s="673"/>
      <c r="M7" s="673"/>
      <c r="N7" s="673"/>
      <c r="O7" s="673"/>
      <c r="P7" s="673"/>
      <c r="Q7" s="673"/>
      <c r="R7" s="673"/>
      <c r="S7" s="673"/>
      <c r="T7" s="673"/>
      <c r="U7" s="673"/>
      <c r="V7" s="673"/>
      <c r="W7" s="673"/>
      <c r="X7" s="673"/>
      <c r="Y7" s="673"/>
    </row>
    <row r="8" spans="2:24" s="8" customFormat="1" ht="24" customHeight="1" thickBot="1">
      <c r="B8" s="670"/>
      <c r="C8" s="31">
        <v>0</v>
      </c>
      <c r="D8" s="31">
        <v>0</v>
      </c>
      <c r="E8" s="555">
        <v>0</v>
      </c>
      <c r="F8" s="31">
        <v>0</v>
      </c>
      <c r="G8" s="31">
        <v>0</v>
      </c>
      <c r="H8" s="555">
        <v>0</v>
      </c>
      <c r="I8" s="555">
        <v>0</v>
      </c>
      <c r="J8" s="31">
        <v>0</v>
      </c>
      <c r="K8" s="31">
        <v>0</v>
      </c>
      <c r="L8" s="555">
        <v>0</v>
      </c>
      <c r="M8" s="31">
        <v>0</v>
      </c>
      <c r="N8" s="555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555">
        <v>0</v>
      </c>
      <c r="Y8" s="555">
        <v>0</v>
      </c>
    </row>
    <row r="9" spans="2:24" s="496" customFormat="1" ht="40" customHeight="1" thickBot="1">
      <c r="B9" s="493" t="s">
        <v>10</v>
      </c>
      <c r="C9" s="494" t="s">
        <v>11</v>
      </c>
      <c r="D9" s="494" t="s">
        <v>11</v>
      </c>
      <c r="E9" s="495" t="s">
        <v>11</v>
      </c>
      <c r="F9" s="494" t="s">
        <v>12</v>
      </c>
      <c r="G9" s="494" t="s">
        <v>12</v>
      </c>
      <c r="H9" s="495" t="s">
        <v>12</v>
      </c>
      <c r="I9" s="495" t="s">
        <v>12</v>
      </c>
      <c r="J9" s="494" t="s">
        <v>13</v>
      </c>
      <c r="K9" s="494" t="s">
        <v>13</v>
      </c>
      <c r="L9" s="495" t="s">
        <v>13</v>
      </c>
      <c r="M9" s="494" t="s">
        <v>13</v>
      </c>
      <c r="N9" s="495" t="s">
        <v>13</v>
      </c>
      <c r="O9" s="494" t="s">
        <v>14</v>
      </c>
      <c r="P9" s="494" t="s">
        <v>14</v>
      </c>
      <c r="Q9" s="494" t="s">
        <v>14</v>
      </c>
      <c r="R9" s="494" t="s">
        <v>14</v>
      </c>
      <c r="S9" s="494" t="s">
        <v>14</v>
      </c>
      <c r="T9" s="494" t="s">
        <v>14</v>
      </c>
      <c r="U9" s="494" t="s">
        <v>14</v>
      </c>
      <c r="V9" s="494" t="s">
        <v>14</v>
      </c>
      <c r="W9" s="494" t="s">
        <v>14</v>
      </c>
      <c r="X9" s="495" t="s">
        <v>14</v>
      </c>
      <c r="Y9" s="495" t="s">
        <v>14</v>
      </c>
    </row>
    <row r="10" spans="2:24" ht="40" customHeight="1">
      <c r="B10" s="497" t="s">
        <v>15</v>
      </c>
      <c r="C10" s="498">
        <f>'BUDGET COIGUE 1'!D13*C8</f>
        <v>0</v>
      </c>
      <c r="D10" s="498">
        <f>'BUDGET COIGUE 2'!$D$13*D8</f>
        <v>0</v>
      </c>
      <c r="E10" s="498">
        <f>'BUDGET COIGUE 2+1'!$D$13*E8</f>
        <v>0</v>
      </c>
      <c r="F10" s="498">
        <f>'BUDGET NIRE 1'!$D$13*F8</f>
        <v>0</v>
      </c>
      <c r="G10" s="498">
        <f>'BUDGET NIRE 2'!$D$13*G8</f>
        <v>0</v>
      </c>
      <c r="H10" s="499">
        <f>'BUDGET NIRE 2+1'!$D$13*H8</f>
        <v>0</v>
      </c>
      <c r="I10" s="499">
        <f>'BUDGET NIRE 2+2'!$D$13*I8</f>
        <v>0</v>
      </c>
      <c r="J10" s="498">
        <f>'BUDGET CHAITEN 1'!$D$13*J8</f>
        <v>0</v>
      </c>
      <c r="K10" s="498">
        <f>'BUDGET CHAITEN 2'!$D$13*K8</f>
        <v>0</v>
      </c>
      <c r="L10" s="499">
        <f>'BUDGET CHAITEN 3'!$D$13*L8</f>
        <v>0</v>
      </c>
      <c r="M10" s="498">
        <f>'BUDGET CHAITEN 2+1'!$D$13*M8</f>
        <v>0</v>
      </c>
      <c r="N10" s="499">
        <f>'BUDGET CHAITEN 2+2'!$D$13*N8</f>
        <v>0</v>
      </c>
      <c r="O10" s="498">
        <f>'BUDGET CORCOVADO 1'!$D$13*O8</f>
        <v>0</v>
      </c>
      <c r="P10" s="498">
        <f>'BUDGET CORCOVADO 2'!$D$13*P8</f>
        <v>0</v>
      </c>
      <c r="Q10" s="498">
        <f>'BUDGET CORCOVADO 2+1'!$D$13*Q8</f>
        <v>0</v>
      </c>
      <c r="R10" s="498">
        <f>'BUDGET CORCOVADO 2+2'!$D$13*R8</f>
        <v>0</v>
      </c>
      <c r="S10" s="498">
        <f>'BUDGET CORCOVADO 2+3'!$D$13*S8</f>
        <v>0</v>
      </c>
      <c r="T10" s="498">
        <f>'BUDGET CORCOVADO 3'!$D$13*T8</f>
        <v>0</v>
      </c>
      <c r="U10" s="498">
        <f>'BUDGET CORCOVADO 3+1'!$D$13*U8</f>
        <v>0</v>
      </c>
      <c r="V10" s="498">
        <f>'BUDGET CORCOVADO 3+2'!$D$13*V8</f>
        <v>0</v>
      </c>
      <c r="W10" s="498">
        <f>'BUDGET CORCOVADO 4'!$D$13*W8</f>
        <v>0</v>
      </c>
      <c r="X10" s="499">
        <f>'BUDGET CORCOVADO 4+1'!$D$13*X8</f>
        <v>0</v>
      </c>
      <c r="Y10" s="499">
        <f>'BUDGET CORCOVADO 5'!$D$13*Y8</f>
        <v>0</v>
      </c>
    </row>
    <row r="11" spans="2:24" s="8" customFormat="1" ht="40" customHeight="1">
      <c r="B11" s="500" t="s">
        <v>16</v>
      </c>
      <c r="C11" s="501">
        <f>'BUDGET COIGUE 1'!$D$14*C8</f>
        <v>0</v>
      </c>
      <c r="D11" s="501">
        <f>'BUDGET COIGUE 2'!$D$14*D8</f>
        <v>0</v>
      </c>
      <c r="E11" s="501">
        <f>'BUDGET COIGUE 2+1'!$D$14*E8</f>
        <v>0</v>
      </c>
      <c r="F11" s="501">
        <f>'BUDGET NIRE 1'!$D$14*F8</f>
        <v>0</v>
      </c>
      <c r="G11" s="501">
        <f>'BUDGET NIRE 2'!$D$14*G8</f>
        <v>0</v>
      </c>
      <c r="H11" s="502">
        <f>'BUDGET NIRE 2+1'!$D$14*H8</f>
        <v>0</v>
      </c>
      <c r="I11" s="502">
        <f>'BUDGET NIRE 2+2'!$D$14*I8</f>
        <v>0</v>
      </c>
      <c r="J11" s="501">
        <f>'BUDGET CHAITEN 1'!$D$14*J8</f>
        <v>0</v>
      </c>
      <c r="K11" s="501">
        <f>'BUDGET CHAITEN 2'!$D$14*K8</f>
        <v>0</v>
      </c>
      <c r="L11" s="502">
        <f>'BUDGET CHAITEN 3'!$D$14*L8</f>
        <v>0</v>
      </c>
      <c r="M11" s="501">
        <f>'BUDGET CHAITEN 2+1'!$D$14*M8</f>
        <v>0</v>
      </c>
      <c r="N11" s="502">
        <f>'BUDGET CHAITEN 2+2'!$D$14*N8</f>
        <v>0</v>
      </c>
      <c r="O11" s="501">
        <f>'BUDGET CORCOVADO 1'!$D$14*O8</f>
        <v>0</v>
      </c>
      <c r="P11" s="501">
        <f>'BUDGET CORCOVADO 2'!$D$14*P8</f>
        <v>0</v>
      </c>
      <c r="Q11" s="501">
        <f>'BUDGET CORCOVADO 2+1'!$D$14*Q8</f>
        <v>0</v>
      </c>
      <c r="R11" s="501">
        <f>'BUDGET CORCOVADO 2+2'!$D$14*R8</f>
        <v>0</v>
      </c>
      <c r="S11" s="501">
        <f>'BUDGET CORCOVADO 2+3'!$D$14*S8</f>
        <v>0</v>
      </c>
      <c r="T11" s="501">
        <f>'BUDGET CORCOVADO 3'!$D$14*T8</f>
        <v>0</v>
      </c>
      <c r="U11" s="501">
        <f>'BUDGET CORCOVADO 3+1'!$D$14*U8</f>
        <v>0</v>
      </c>
      <c r="V11" s="501">
        <f>'BUDGET CORCOVADO 3+2'!$D$14*V8</f>
        <v>0</v>
      </c>
      <c r="W11" s="501">
        <f>'BUDGET CORCOVADO 4'!$D$14*W8</f>
        <v>0</v>
      </c>
      <c r="X11" s="502">
        <f>'BUDGET CORCOVADO 4+1'!$D$14*X8</f>
        <v>0</v>
      </c>
      <c r="Y11" s="502">
        <f>'BUDGET CORCOVADO 5'!$D$14*Y8</f>
        <v>0</v>
      </c>
    </row>
    <row r="12" spans="2:24" ht="40" customHeight="1">
      <c r="B12" s="503" t="s">
        <v>17</v>
      </c>
      <c r="C12" s="504">
        <f>'BUDGET COIGUE 1'!$D$15*C8</f>
        <v>0</v>
      </c>
      <c r="D12" s="504">
        <f>'BUDGET COIGUE 2'!$D$15*D8</f>
        <v>0</v>
      </c>
      <c r="E12" s="504">
        <f>'BUDGET COIGUE 2+1'!$D$15*E8</f>
        <v>0</v>
      </c>
      <c r="F12" s="504">
        <f>'BUDGET NIRE 1'!$D$15*F8</f>
        <v>0</v>
      </c>
      <c r="G12" s="504">
        <f>'BUDGET NIRE 2'!$D$15*G8</f>
        <v>0</v>
      </c>
      <c r="H12" s="505">
        <f>'BUDGET NIRE 2+1'!$D$15*H8</f>
        <v>0</v>
      </c>
      <c r="I12" s="505">
        <f>'BUDGET NIRE 2+2'!$D$15*I8</f>
        <v>0</v>
      </c>
      <c r="J12" s="504">
        <f>'BUDGET CHAITEN 1'!$D$15*J8</f>
        <v>0</v>
      </c>
      <c r="K12" s="504">
        <f>'BUDGET CHAITEN 2'!$D$15*K8</f>
        <v>0</v>
      </c>
      <c r="L12" s="505">
        <f>'BUDGET CHAITEN 3'!$D$15*L8</f>
        <v>0</v>
      </c>
      <c r="M12" s="504">
        <f>'BUDGET CHAITEN 2+1'!$D$15*M8</f>
        <v>0</v>
      </c>
      <c r="N12" s="505">
        <f>'BUDGET CHAITEN 2+2'!$D$15*N8</f>
        <v>0</v>
      </c>
      <c r="O12" s="504">
        <f>'BUDGET CORCOVADO 1'!$D$15*O8</f>
        <v>0</v>
      </c>
      <c r="P12" s="504">
        <f>'BUDGET CORCOVADO 2'!$D$15*P8</f>
        <v>0</v>
      </c>
      <c r="Q12" s="504">
        <f>'BUDGET CORCOVADO 2+1'!$D$15*Q8</f>
        <v>0</v>
      </c>
      <c r="R12" s="504">
        <f>'BUDGET CORCOVADO 2+2'!$D$15*R8</f>
        <v>0</v>
      </c>
      <c r="S12" s="504">
        <f>'BUDGET CORCOVADO 2+3'!$D$15*S8</f>
        <v>0</v>
      </c>
      <c r="T12" s="504">
        <f>'BUDGET CORCOVADO 3'!$D$15*T8</f>
        <v>0</v>
      </c>
      <c r="U12" s="504">
        <f>'BUDGET CORCOVADO 3+1'!$D$15*U8</f>
        <v>0</v>
      </c>
      <c r="V12" s="504">
        <f>'BUDGET CORCOVADO 3+2'!$D$15*V8</f>
        <v>0</v>
      </c>
      <c r="W12" s="504">
        <f>'BUDGET CORCOVADO 4'!$D$15*W8</f>
        <v>0</v>
      </c>
      <c r="X12" s="505">
        <f>'BUDGET CORCOVADO 4+1'!$D$15*X8</f>
        <v>0</v>
      </c>
      <c r="Y12" s="505">
        <f>'BUDGET CORCOVADO 5'!$D$15*Y8</f>
        <v>0</v>
      </c>
    </row>
    <row r="13" spans="2:24" ht="40" customHeight="1">
      <c r="B13" s="506" t="s">
        <v>18</v>
      </c>
      <c r="C13" s="507">
        <f>'BUDGET COIGUE 1'!$D$16*C8</f>
        <v>0</v>
      </c>
      <c r="D13" s="507">
        <f>'BUDGET COIGUE 2'!$D$16*D8</f>
        <v>0</v>
      </c>
      <c r="E13" s="507">
        <f>'BUDGET COIGUE 2+1'!$D$16*E8</f>
        <v>0</v>
      </c>
      <c r="F13" s="507">
        <f>'BUDGET NIRE 1'!$D$16*F8</f>
        <v>0</v>
      </c>
      <c r="G13" s="507">
        <f>'BUDGET NIRE 2'!$D$16*G8</f>
        <v>0</v>
      </c>
      <c r="H13" s="508">
        <f>'BUDGET NIRE 2+1'!$D$16*H8</f>
        <v>0</v>
      </c>
      <c r="I13" s="508">
        <f>'BUDGET NIRE 2+2'!$D$16*I8</f>
        <v>0</v>
      </c>
      <c r="J13" s="507">
        <f>'BUDGET CHAITEN 1'!$D$16*J8</f>
        <v>0</v>
      </c>
      <c r="K13" s="507">
        <f>'BUDGET CHAITEN 2'!$D$16*K8</f>
        <v>0</v>
      </c>
      <c r="L13" s="508">
        <f>'BUDGET CHAITEN 3'!$D$16*L8</f>
        <v>0</v>
      </c>
      <c r="M13" s="507">
        <f>'BUDGET CHAITEN 2+1'!$D$16*M8</f>
        <v>0</v>
      </c>
      <c r="N13" s="508">
        <f>'BUDGET CHAITEN 2+2'!$D$16*N8</f>
        <v>0</v>
      </c>
      <c r="O13" s="507">
        <f>'BUDGET CORCOVADO 1'!$D$16*O8</f>
        <v>0</v>
      </c>
      <c r="P13" s="507">
        <f>'BUDGET CORCOVADO 2'!$D$16*P8</f>
        <v>0</v>
      </c>
      <c r="Q13" s="507">
        <f>'BUDGET CORCOVADO 2+1'!$D$16*Q8</f>
        <v>0</v>
      </c>
      <c r="R13" s="507">
        <f>'BUDGET CORCOVADO 2+2'!$D$16*R8</f>
        <v>0</v>
      </c>
      <c r="S13" s="507">
        <f>'BUDGET CORCOVADO 2+3'!$D$16*S8</f>
        <v>0</v>
      </c>
      <c r="T13" s="507">
        <f>'BUDGET CORCOVADO 3'!$D$16*T8</f>
        <v>0</v>
      </c>
      <c r="U13" s="507">
        <f>'BUDGET CORCOVADO 3+1'!$D$16*U8</f>
        <v>0</v>
      </c>
      <c r="V13" s="507">
        <f>'BUDGET CORCOVADO 3+2'!$D$16*V8</f>
        <v>0</v>
      </c>
      <c r="W13" s="507">
        <f>'BUDGET CORCOVADO 4'!$D$16*W8</f>
        <v>0</v>
      </c>
      <c r="X13" s="508">
        <f>'BUDGET CORCOVADO 4+1'!$D$16*X8</f>
        <v>0</v>
      </c>
      <c r="Y13" s="508">
        <f>'BUDGET CORCOVADO 5'!$D$16*Y8</f>
        <v>0</v>
      </c>
    </row>
    <row r="14" spans="2:24" ht="40" customHeight="1">
      <c r="B14" s="509" t="s">
        <v>19</v>
      </c>
      <c r="C14" s="510">
        <f>'BUDGET COIGUE 1'!$D$17*C8</f>
        <v>0</v>
      </c>
      <c r="D14" s="510">
        <f>'BUDGET COIGUE 2'!$D$17*D8</f>
        <v>0</v>
      </c>
      <c r="E14" s="510">
        <f>'BUDGET COIGUE 2+1'!$D$17*E8</f>
        <v>0</v>
      </c>
      <c r="F14" s="510">
        <f>'BUDGET NIRE 1'!$D$17*F8</f>
        <v>0</v>
      </c>
      <c r="G14" s="510">
        <f>'BUDGET NIRE 2'!$D$17*G8</f>
        <v>0</v>
      </c>
      <c r="H14" s="511">
        <f>'BUDGET NIRE 2+1'!$D$17*H8</f>
        <v>0</v>
      </c>
      <c r="I14" s="511">
        <f>'BUDGET NIRE 2+2'!$D$17*I8</f>
        <v>0</v>
      </c>
      <c r="J14" s="510">
        <f>'BUDGET CHAITEN 1'!$D$17*J8</f>
        <v>0</v>
      </c>
      <c r="K14" s="510">
        <f>'BUDGET CHAITEN 2'!$D$17*K8</f>
        <v>0</v>
      </c>
      <c r="L14" s="511">
        <f>'BUDGET CHAITEN 3'!$D$17*L8</f>
        <v>0</v>
      </c>
      <c r="M14" s="510">
        <f>'BUDGET CHAITEN 2+1'!$D$17*M8</f>
        <v>0</v>
      </c>
      <c r="N14" s="511">
        <f>'BUDGET CHAITEN 2+2'!$D$17*N8</f>
        <v>0</v>
      </c>
      <c r="O14" s="510">
        <f>'BUDGET CORCOVADO 1'!$D$17*O8</f>
        <v>0</v>
      </c>
      <c r="P14" s="510">
        <f>'BUDGET CORCOVADO 2'!$D$17*P8</f>
        <v>0</v>
      </c>
      <c r="Q14" s="510">
        <f>'BUDGET CORCOVADO 2+1'!$D$17*Q8</f>
        <v>0</v>
      </c>
      <c r="R14" s="510">
        <f>'BUDGET CORCOVADO 2+2'!$D$17*R8</f>
        <v>0</v>
      </c>
      <c r="S14" s="510">
        <f>'BUDGET CORCOVADO 2+3'!$D$17*S8</f>
        <v>0</v>
      </c>
      <c r="T14" s="510">
        <f>'BUDGET CORCOVADO 3'!$D$17*T8</f>
        <v>0</v>
      </c>
      <c r="U14" s="510">
        <f>'BUDGET CORCOVADO 3+1'!$D$17*U8</f>
        <v>0</v>
      </c>
      <c r="V14" s="510">
        <f>'BUDGET CORCOVADO 3+2'!$D$17*V8</f>
        <v>0</v>
      </c>
      <c r="W14" s="510">
        <f>'BUDGET CORCOVADO 4'!$D$17*W8</f>
        <v>0</v>
      </c>
      <c r="X14" s="511">
        <f>'BUDGET CORCOVADO 4+1'!$D$17*X8</f>
        <v>0</v>
      </c>
      <c r="Y14" s="511">
        <f>'BUDGET CORCOVADO 5'!$D$17*Y8</f>
        <v>0</v>
      </c>
    </row>
    <row r="15" spans="2:24" ht="40" customHeight="1">
      <c r="B15" s="512" t="s">
        <v>20</v>
      </c>
      <c r="C15" s="513">
        <f>'BUDGET COIGUE 1'!$D$18*C8</f>
        <v>0</v>
      </c>
      <c r="D15" s="513">
        <f>'BUDGET COIGUE 2'!$D$18*D8</f>
        <v>0</v>
      </c>
      <c r="E15" s="513">
        <f>'BUDGET COIGUE 2+1'!$D$18*E8</f>
        <v>0</v>
      </c>
      <c r="F15" s="513">
        <f>'BUDGET NIRE 1'!$D$18*F8</f>
        <v>0</v>
      </c>
      <c r="G15" s="513">
        <f>'BUDGET NIRE 2'!$D$18*G8</f>
        <v>0</v>
      </c>
      <c r="H15" s="514">
        <f>'BUDGET NIRE 2+1'!$D$18*H8</f>
        <v>0</v>
      </c>
      <c r="I15" s="514">
        <f>'BUDGET NIRE 2+2'!$D$18*I8</f>
        <v>0</v>
      </c>
      <c r="J15" s="513">
        <f>'BUDGET CHAITEN 1'!$D$18*J8</f>
        <v>0</v>
      </c>
      <c r="K15" s="513">
        <f>'BUDGET CHAITEN 2'!$D$18*K8</f>
        <v>0</v>
      </c>
      <c r="L15" s="514">
        <f>'BUDGET CHAITEN 3'!$D$18*L8</f>
        <v>0</v>
      </c>
      <c r="M15" s="513">
        <f>'BUDGET CHAITEN 2+1'!$D$18*M8</f>
        <v>0</v>
      </c>
      <c r="N15" s="514">
        <f>'BUDGET CHAITEN 2+2'!$D$18*N8</f>
        <v>0</v>
      </c>
      <c r="O15" s="513">
        <f>'BUDGET CORCOVADO 1'!$D$18*O8</f>
        <v>0</v>
      </c>
      <c r="P15" s="513">
        <f>'BUDGET CORCOVADO 2'!$D$18*P8</f>
        <v>0</v>
      </c>
      <c r="Q15" s="513">
        <f>'BUDGET CORCOVADO 2+1'!$D$18*Q8</f>
        <v>0</v>
      </c>
      <c r="R15" s="513">
        <f>'BUDGET CORCOVADO 2+2'!$D$18*R8</f>
        <v>0</v>
      </c>
      <c r="S15" s="513">
        <f>'BUDGET CORCOVADO 2+3'!$D$18*S8</f>
        <v>0</v>
      </c>
      <c r="T15" s="513">
        <f>'BUDGET CORCOVADO 3'!$D$18*T8</f>
        <v>0</v>
      </c>
      <c r="U15" s="513">
        <f>'BUDGET CORCOVADO 3+1'!$D$18*U8</f>
        <v>0</v>
      </c>
      <c r="V15" s="513">
        <f>'BUDGET CORCOVADO 3+2'!$D$18*V8</f>
        <v>0</v>
      </c>
      <c r="W15" s="513">
        <f>'BUDGET CORCOVADO 4'!$D$18*W8</f>
        <v>0</v>
      </c>
      <c r="X15" s="514">
        <f>'BUDGET CORCOVADO 4+1'!$D$18*X8</f>
        <v>0</v>
      </c>
      <c r="Y15" s="514">
        <f>'BUDGET CORCOVADO 5'!$D$18*Y8</f>
        <v>0</v>
      </c>
    </row>
    <row r="16" spans="2:24" ht="40" customHeight="1">
      <c r="B16" s="515" t="s">
        <v>21</v>
      </c>
      <c r="C16" s="516">
        <f>'BUDGET COIGUE 1'!$D$19*C8</f>
        <v>0</v>
      </c>
      <c r="D16" s="516">
        <f>'BUDGET COIGUE 2'!$D$19*D8</f>
        <v>0</v>
      </c>
      <c r="E16" s="516">
        <f>'BUDGET COIGUE 2+1'!$D$19*E8</f>
        <v>0</v>
      </c>
      <c r="F16" s="516">
        <f>'BUDGET NIRE 1'!$D$19*F8</f>
        <v>0</v>
      </c>
      <c r="G16" s="516">
        <f>'BUDGET NIRE 2'!$D$19*G8</f>
        <v>0</v>
      </c>
      <c r="H16" s="517">
        <f>'BUDGET NIRE 2+1'!$D$19*H8</f>
        <v>0</v>
      </c>
      <c r="I16" s="517">
        <f>'BUDGET NIRE 2+2'!$D$19*I8</f>
        <v>0</v>
      </c>
      <c r="J16" s="516">
        <f>'BUDGET CHAITEN 1'!$D$19*J8</f>
        <v>0</v>
      </c>
      <c r="K16" s="516">
        <f>'BUDGET CHAITEN 2'!$D$19*K8</f>
        <v>0</v>
      </c>
      <c r="L16" s="517">
        <f>'BUDGET CHAITEN 3'!$D$19*L8</f>
        <v>0</v>
      </c>
      <c r="M16" s="516">
        <f>'BUDGET CHAITEN 2+1'!$D$19*M8</f>
        <v>0</v>
      </c>
      <c r="N16" s="517">
        <f>'BUDGET CHAITEN 2+2'!$D$19*N8</f>
        <v>0</v>
      </c>
      <c r="O16" s="516">
        <f>'BUDGET CORCOVADO 1'!$D$19*O8</f>
        <v>0</v>
      </c>
      <c r="P16" s="516">
        <f>'BUDGET CORCOVADO 2'!$D$19*P8</f>
        <v>0</v>
      </c>
      <c r="Q16" s="516">
        <f>'BUDGET CORCOVADO 2+1'!$D$19*Q8</f>
        <v>0</v>
      </c>
      <c r="R16" s="516">
        <f>'BUDGET CORCOVADO 2+2'!$D$19*R8</f>
        <v>0</v>
      </c>
      <c r="S16" s="516">
        <f>'BUDGET CORCOVADO 2+3'!$D$19*S8</f>
        <v>0</v>
      </c>
      <c r="T16" s="516">
        <f>'BUDGET CORCOVADO 3'!$D$19*T8</f>
        <v>0</v>
      </c>
      <c r="U16" s="516">
        <f>'BUDGET CORCOVADO 3+1'!$D$19*U8</f>
        <v>0</v>
      </c>
      <c r="V16" s="516">
        <f>'BUDGET CORCOVADO 3+2'!$D$19*V8</f>
        <v>0</v>
      </c>
      <c r="W16" s="516">
        <f>'BUDGET CORCOVADO 4'!$D$19*W8</f>
        <v>0</v>
      </c>
      <c r="X16" s="517">
        <f>'BUDGET CORCOVADO 4+1'!$D$19*X8</f>
        <v>0</v>
      </c>
      <c r="Y16" s="517">
        <f>'BUDGET CORCOVADO 5'!$D$19*Y8</f>
        <v>0</v>
      </c>
    </row>
    <row r="17" spans="2:24" ht="40" customHeight="1" thickBot="1">
      <c r="B17" s="518" t="s">
        <v>22</v>
      </c>
      <c r="C17" s="519">
        <f>'BUDGET COIGUE 1'!$D$20*C8</f>
        <v>0</v>
      </c>
      <c r="D17" s="519">
        <f>'BUDGET COIGUE 2'!$D$20*D8</f>
        <v>0</v>
      </c>
      <c r="E17" s="519">
        <f>'BUDGET COIGUE 2+1'!$D$20*E8</f>
        <v>0</v>
      </c>
      <c r="F17" s="519">
        <f>'BUDGET NIRE 1'!$D$20*F8</f>
        <v>0</v>
      </c>
      <c r="G17" s="519">
        <f>'BUDGET NIRE 2'!$D$20*G8</f>
        <v>0</v>
      </c>
      <c r="H17" s="520">
        <f>'BUDGET NIRE 2+1'!$D$20*H8</f>
        <v>0</v>
      </c>
      <c r="I17" s="520">
        <f>'BUDGET NIRE 2+2'!$D$20*I8</f>
        <v>0</v>
      </c>
      <c r="J17" s="519">
        <f>'BUDGET CHAITEN 1'!$D$20*J8</f>
        <v>0</v>
      </c>
      <c r="K17" s="519">
        <f>'BUDGET CHAITEN 2'!$D$20*K8</f>
        <v>0</v>
      </c>
      <c r="L17" s="520">
        <f>'BUDGET CHAITEN 3'!$D$20*L8</f>
        <v>0</v>
      </c>
      <c r="M17" s="519">
        <f>'BUDGET CHAITEN 2+1'!$D$20*M8</f>
        <v>0</v>
      </c>
      <c r="N17" s="520">
        <f>'BUDGET CHAITEN 2+2'!$D$20*N8</f>
        <v>0</v>
      </c>
      <c r="O17" s="519">
        <f>'BUDGET CORCOVADO 1'!$D$20*O8</f>
        <v>0</v>
      </c>
      <c r="P17" s="519">
        <f>'BUDGET CORCOVADO 2'!$D$20*P8</f>
        <v>0</v>
      </c>
      <c r="Q17" s="519">
        <f>'BUDGET CORCOVADO 2+1'!$D$20*Q8</f>
        <v>0</v>
      </c>
      <c r="R17" s="519">
        <f>'BUDGET CORCOVADO 2+2'!$D$20*R8</f>
        <v>0</v>
      </c>
      <c r="S17" s="519">
        <f>'BUDGET CORCOVADO 2+3'!$D$20*S8</f>
        <v>0</v>
      </c>
      <c r="T17" s="519">
        <f>'BUDGET CORCOVADO 2'!$D$20*T8</f>
        <v>0</v>
      </c>
      <c r="U17" s="519">
        <f>'BUDGET CORCOVADO 2'!$D$20*U8</f>
        <v>0</v>
      </c>
      <c r="V17" s="519">
        <f>'BUDGET CORCOVADO 3+2'!$D$20*V8</f>
        <v>0</v>
      </c>
      <c r="W17" s="519">
        <f>'BUDGET CORCOVADO 2'!$D$20*W8</f>
        <v>0</v>
      </c>
      <c r="X17" s="520">
        <f>'BUDGET CORCOVADO 4+1'!$D$20*X8</f>
        <v>0</v>
      </c>
      <c r="Y17" s="520">
        <f>'BUDGET CORCOVADO 5'!$D$20*Y8</f>
        <v>0</v>
      </c>
    </row>
    <row r="18" spans="2:24" ht="28" customHeight="1" thickBot="1">
      <c r="B18" s="521"/>
      <c r="C18" s="522"/>
      <c r="D18" s="522"/>
      <c r="E18" s="523"/>
      <c r="F18" s="522"/>
      <c r="G18" s="522"/>
      <c r="H18" s="523"/>
      <c r="I18" s="523"/>
      <c r="J18" s="522"/>
      <c r="K18" s="522"/>
      <c r="L18" s="523"/>
      <c r="M18" s="522"/>
      <c r="N18" s="523"/>
      <c r="O18" s="522"/>
      <c r="P18" s="522"/>
      <c r="Q18" s="522"/>
      <c r="R18" s="522"/>
      <c r="S18" s="522"/>
      <c r="T18" s="522"/>
      <c r="U18" s="522"/>
      <c r="V18" s="522"/>
      <c r="W18" s="522"/>
      <c r="X18" s="523"/>
      <c r="Y18" s="523"/>
    </row>
    <row r="19" spans="2:24" s="526" customFormat="1" ht="40" customHeight="1" thickBot="1">
      <c r="B19" s="524" t="s">
        <v>23</v>
      </c>
      <c r="C19" s="135">
        <f t="shared" ref="C19:Y19" si="0">SUM(C10:C17)</f>
        <v>0</v>
      </c>
      <c r="D19" s="135">
        <f t="shared" si="0"/>
        <v>0</v>
      </c>
      <c r="E19" s="525">
        <f t="shared" si="0"/>
        <v>0</v>
      </c>
      <c r="F19" s="135">
        <f t="shared" si="0"/>
        <v>0</v>
      </c>
      <c r="G19" s="135">
        <f t="shared" si="0"/>
        <v>0</v>
      </c>
      <c r="H19" s="525">
        <f t="shared" si="0"/>
        <v>0</v>
      </c>
      <c r="I19" s="525">
        <f>SUM(I10:I17)</f>
        <v>0</v>
      </c>
      <c r="J19" s="135">
        <f t="shared" si="0"/>
        <v>0</v>
      </c>
      <c r="K19" s="135">
        <f t="shared" si="0"/>
        <v>0</v>
      </c>
      <c r="L19" s="525">
        <f t="shared" si="0"/>
        <v>0</v>
      </c>
      <c r="M19" s="135">
        <f t="shared" si="0"/>
        <v>0</v>
      </c>
      <c r="N19" s="525">
        <f t="shared" si="0"/>
        <v>0</v>
      </c>
      <c r="O19" s="135">
        <f t="shared" si="0"/>
        <v>0</v>
      </c>
      <c r="P19" s="135">
        <f t="shared" si="0"/>
        <v>0</v>
      </c>
      <c r="Q19" s="135">
        <f t="shared" si="0"/>
        <v>0</v>
      </c>
      <c r="R19" s="135">
        <f t="shared" si="0"/>
        <v>0</v>
      </c>
      <c r="S19" s="135">
        <f t="shared" si="0"/>
        <v>0</v>
      </c>
      <c r="T19" s="135">
        <f t="shared" si="0"/>
        <v>0</v>
      </c>
      <c r="U19" s="135">
        <f t="shared" si="0"/>
        <v>0</v>
      </c>
      <c r="V19" s="135">
        <f t="shared" si="0"/>
        <v>0</v>
      </c>
      <c r="W19" s="135">
        <f t="shared" si="0"/>
        <v>0</v>
      </c>
      <c r="X19" s="525">
        <f t="shared" si="0"/>
        <v>0</v>
      </c>
      <c r="Y19" s="525">
        <f t="shared" si="0"/>
        <v>0</v>
      </c>
    </row>
    <row r="20" spans="2:24" s="526" customFormat="1" ht="29" customHeight="1" thickBot="1">
      <c r="B20" s="527" t="s">
        <v>24</v>
      </c>
      <c r="C20" s="528">
        <f t="shared" ref="C20:Y20" si="1">C19*0.05</f>
        <v>0</v>
      </c>
      <c r="D20" s="528">
        <f t="shared" si="1"/>
        <v>0</v>
      </c>
      <c r="E20" s="529">
        <f t="shared" si="1"/>
        <v>0</v>
      </c>
      <c r="F20" s="528">
        <f t="shared" si="1"/>
        <v>0</v>
      </c>
      <c r="G20" s="528">
        <f t="shared" si="1"/>
        <v>0</v>
      </c>
      <c r="H20" s="529">
        <f t="shared" si="1"/>
        <v>0</v>
      </c>
      <c r="I20" s="529">
        <f>I19*0.05</f>
        <v>0</v>
      </c>
      <c r="J20" s="528">
        <f t="shared" si="1"/>
        <v>0</v>
      </c>
      <c r="K20" s="528">
        <f t="shared" si="1"/>
        <v>0</v>
      </c>
      <c r="L20" s="529">
        <f t="shared" si="1"/>
        <v>0</v>
      </c>
      <c r="M20" s="528">
        <f t="shared" si="1"/>
        <v>0</v>
      </c>
      <c r="N20" s="529">
        <f t="shared" si="1"/>
        <v>0</v>
      </c>
      <c r="O20" s="528">
        <f t="shared" si="1"/>
        <v>0</v>
      </c>
      <c r="P20" s="528">
        <f t="shared" si="1"/>
        <v>0</v>
      </c>
      <c r="Q20" s="528">
        <f t="shared" si="1"/>
        <v>0</v>
      </c>
      <c r="R20" s="528">
        <f t="shared" si="1"/>
        <v>0</v>
      </c>
      <c r="S20" s="528">
        <f t="shared" si="1"/>
        <v>0</v>
      </c>
      <c r="T20" s="528">
        <f t="shared" si="1"/>
        <v>0</v>
      </c>
      <c r="U20" s="528">
        <f t="shared" si="1"/>
        <v>0</v>
      </c>
      <c r="V20" s="528">
        <f t="shared" si="1"/>
        <v>0</v>
      </c>
      <c r="W20" s="528">
        <f t="shared" si="1"/>
        <v>0</v>
      </c>
      <c r="X20" s="529">
        <f t="shared" si="1"/>
        <v>0</v>
      </c>
      <c r="Y20" s="529">
        <f t="shared" si="1"/>
        <v>0</v>
      </c>
    </row>
    <row r="21" spans="2:24" s="526" customFormat="1" ht="40" customHeight="1" thickBot="1">
      <c r="B21" s="530" t="s">
        <v>25</v>
      </c>
      <c r="C21" s="531">
        <f t="shared" ref="C21:Y21" si="2">C19-C20</f>
        <v>0</v>
      </c>
      <c r="D21" s="531">
        <f t="shared" si="2"/>
        <v>0</v>
      </c>
      <c r="E21" s="532">
        <f t="shared" si="2"/>
        <v>0</v>
      </c>
      <c r="F21" s="531">
        <f t="shared" si="2"/>
        <v>0</v>
      </c>
      <c r="G21" s="531">
        <f t="shared" si="2"/>
        <v>0</v>
      </c>
      <c r="H21" s="532">
        <f t="shared" si="2"/>
        <v>0</v>
      </c>
      <c r="I21" s="532">
        <f>I19-I20</f>
        <v>0</v>
      </c>
      <c r="J21" s="531">
        <f t="shared" si="2"/>
        <v>0</v>
      </c>
      <c r="K21" s="531">
        <f t="shared" si="2"/>
        <v>0</v>
      </c>
      <c r="L21" s="532">
        <f t="shared" si="2"/>
        <v>0</v>
      </c>
      <c r="M21" s="531">
        <f t="shared" si="2"/>
        <v>0</v>
      </c>
      <c r="N21" s="532">
        <f t="shared" si="2"/>
        <v>0</v>
      </c>
      <c r="O21" s="531">
        <f t="shared" si="2"/>
        <v>0</v>
      </c>
      <c r="P21" s="531">
        <f t="shared" si="2"/>
        <v>0</v>
      </c>
      <c r="Q21" s="531">
        <f t="shared" si="2"/>
        <v>0</v>
      </c>
      <c r="R21" s="531">
        <f t="shared" si="2"/>
        <v>0</v>
      </c>
      <c r="S21" s="531">
        <f t="shared" si="2"/>
        <v>0</v>
      </c>
      <c r="T21" s="531">
        <f t="shared" si="2"/>
        <v>0</v>
      </c>
      <c r="U21" s="531">
        <f t="shared" si="2"/>
        <v>0</v>
      </c>
      <c r="V21" s="531">
        <f t="shared" si="2"/>
        <v>0</v>
      </c>
      <c r="W21" s="531">
        <f t="shared" si="2"/>
        <v>0</v>
      </c>
      <c r="X21" s="532">
        <f t="shared" si="2"/>
        <v>0</v>
      </c>
      <c r="Y21" s="532">
        <f t="shared" si="2"/>
        <v>0</v>
      </c>
    </row>
    <row r="22" spans="2:24" s="526" customFormat="1" ht="13" customHeight="1" thickBot="1">
      <c r="B22" s="533"/>
      <c r="C22" s="534"/>
      <c r="D22" s="534"/>
      <c r="E22" s="535"/>
      <c r="F22" s="534"/>
      <c r="G22" s="534"/>
      <c r="H22" s="535"/>
      <c r="I22" s="535"/>
      <c r="J22" s="534"/>
      <c r="K22" s="534"/>
      <c r="L22" s="535"/>
      <c r="M22" s="534"/>
      <c r="N22" s="535"/>
      <c r="O22" s="534"/>
      <c r="P22" s="534"/>
      <c r="Q22" s="534"/>
      <c r="R22" s="534"/>
      <c r="S22" s="534"/>
      <c r="T22" s="534"/>
      <c r="U22" s="534"/>
      <c r="V22" s="534"/>
      <c r="W22" s="534"/>
      <c r="X22" s="535"/>
      <c r="Y22" s="535"/>
    </row>
    <row r="23" spans="2:24" s="8" customFormat="1" ht="30" customHeight="1" thickBot="1">
      <c r="B23" s="536" t="s">
        <v>26</v>
      </c>
      <c r="C23" s="537">
        <f>'[1]⚙️ INPUTS'!$B$34</f>
        <v>0.15</v>
      </c>
      <c r="D23" s="362"/>
      <c r="E23" s="538"/>
      <c r="F23" s="362"/>
      <c r="G23" s="362"/>
      <c r="H23" s="538"/>
      <c r="I23" s="538"/>
      <c r="J23" s="362"/>
      <c r="K23" s="362"/>
      <c r="L23" s="362"/>
      <c r="M23" s="362"/>
      <c r="N23" s="538"/>
      <c r="O23" s="362"/>
      <c r="P23" s="362"/>
      <c r="Q23" s="362"/>
      <c r="R23" s="362"/>
      <c r="S23" s="362"/>
      <c r="T23" s="362"/>
      <c r="U23" s="362"/>
      <c r="V23" s="362"/>
      <c r="W23" s="362"/>
      <c r="X23" s="362"/>
      <c r="Y23" s="362"/>
    </row>
    <row r="24" spans="2:24" s="8" customFormat="1" ht="30" customHeight="1" thickBot="1">
      <c r="B24" s="539" t="s">
        <v>27</v>
      </c>
      <c r="C24" s="537">
        <f>'[1]⚙️ INPUTS'!$B$33</f>
        <v>0.04</v>
      </c>
      <c r="D24" s="362"/>
      <c r="E24" s="538"/>
      <c r="F24" s="362"/>
      <c r="G24" s="362"/>
      <c r="H24" s="538"/>
      <c r="I24" s="538"/>
      <c r="J24" s="362"/>
      <c r="K24" s="362"/>
      <c r="L24" s="362"/>
      <c r="M24" s="362"/>
      <c r="N24" s="538"/>
      <c r="O24" s="362"/>
      <c r="P24" s="362"/>
      <c r="Q24" s="362"/>
      <c r="R24" s="362"/>
      <c r="S24" s="362"/>
      <c r="T24" s="362"/>
      <c r="U24" s="362"/>
      <c r="V24" s="362"/>
      <c r="W24" s="362"/>
      <c r="X24" s="362"/>
      <c r="Y24" s="362"/>
    </row>
    <row r="25" spans="2:24" s="489" customFormat="1" ht="48" customHeight="1">
      <c r="B25" s="540" t="s">
        <v>28</v>
      </c>
      <c r="C25" s="541">
        <f t="shared" ref="C25:Y25" si="3">C21+(C21*$C$23)</f>
        <v>0</v>
      </c>
      <c r="D25" s="541">
        <f t="shared" si="3"/>
        <v>0</v>
      </c>
      <c r="E25" s="542">
        <f t="shared" si="3"/>
        <v>0</v>
      </c>
      <c r="F25" s="541">
        <f t="shared" si="3"/>
        <v>0</v>
      </c>
      <c r="G25" s="541">
        <f t="shared" si="3"/>
        <v>0</v>
      </c>
      <c r="H25" s="542">
        <f t="shared" si="3"/>
        <v>0</v>
      </c>
      <c r="I25" s="542">
        <f>I21+(I21*$C$23)</f>
        <v>0</v>
      </c>
      <c r="J25" s="541">
        <f t="shared" si="3"/>
        <v>0</v>
      </c>
      <c r="K25" s="541">
        <f t="shared" si="3"/>
        <v>0</v>
      </c>
      <c r="L25" s="542">
        <f t="shared" si="3"/>
        <v>0</v>
      </c>
      <c r="M25" s="541">
        <f t="shared" si="3"/>
        <v>0</v>
      </c>
      <c r="N25" s="542">
        <f t="shared" si="3"/>
        <v>0</v>
      </c>
      <c r="O25" s="541">
        <f t="shared" si="3"/>
        <v>0</v>
      </c>
      <c r="P25" s="541">
        <f t="shared" si="3"/>
        <v>0</v>
      </c>
      <c r="Q25" s="541">
        <f t="shared" si="3"/>
        <v>0</v>
      </c>
      <c r="R25" s="541">
        <f t="shared" si="3"/>
        <v>0</v>
      </c>
      <c r="S25" s="541">
        <f t="shared" si="3"/>
        <v>0</v>
      </c>
      <c r="T25" s="541">
        <f t="shared" si="3"/>
        <v>0</v>
      </c>
      <c r="U25" s="541">
        <f t="shared" si="3"/>
        <v>0</v>
      </c>
      <c r="V25" s="541">
        <f t="shared" si="3"/>
        <v>0</v>
      </c>
      <c r="W25" s="541">
        <f t="shared" si="3"/>
        <v>0</v>
      </c>
      <c r="X25" s="542">
        <f t="shared" si="3"/>
        <v>0</v>
      </c>
      <c r="Y25" s="542">
        <f t="shared" si="3"/>
        <v>0</v>
      </c>
    </row>
    <row r="26" spans="2:24" s="489" customFormat="1" ht="49" customHeight="1" thickBot="1">
      <c r="B26" s="543" t="s">
        <v>29</v>
      </c>
      <c r="C26" s="104">
        <f t="shared" ref="C26:Y26" si="4">C25+(C25*$C$24)</f>
        <v>0</v>
      </c>
      <c r="D26" s="104">
        <f t="shared" si="4"/>
        <v>0</v>
      </c>
      <c r="E26" s="544">
        <f t="shared" si="4"/>
        <v>0</v>
      </c>
      <c r="F26" s="104">
        <f t="shared" si="4"/>
        <v>0</v>
      </c>
      <c r="G26" s="104">
        <f t="shared" si="4"/>
        <v>0</v>
      </c>
      <c r="H26" s="544">
        <f t="shared" si="4"/>
        <v>0</v>
      </c>
      <c r="I26" s="544">
        <f>I25+(I25*$C$24)</f>
        <v>0</v>
      </c>
      <c r="J26" s="104">
        <f t="shared" si="4"/>
        <v>0</v>
      </c>
      <c r="K26" s="104">
        <f t="shared" si="4"/>
        <v>0</v>
      </c>
      <c r="L26" s="544">
        <f t="shared" si="4"/>
        <v>0</v>
      </c>
      <c r="M26" s="104">
        <f t="shared" si="4"/>
        <v>0</v>
      </c>
      <c r="N26" s="544">
        <f t="shared" si="4"/>
        <v>0</v>
      </c>
      <c r="O26" s="104">
        <f t="shared" si="4"/>
        <v>0</v>
      </c>
      <c r="P26" s="104">
        <f t="shared" si="4"/>
        <v>0</v>
      </c>
      <c r="Q26" s="104">
        <f t="shared" si="4"/>
        <v>0</v>
      </c>
      <c r="R26" s="104">
        <f t="shared" si="4"/>
        <v>0</v>
      </c>
      <c r="S26" s="104">
        <f t="shared" si="4"/>
        <v>0</v>
      </c>
      <c r="T26" s="104">
        <f t="shared" si="4"/>
        <v>0</v>
      </c>
      <c r="U26" s="104">
        <f t="shared" si="4"/>
        <v>0</v>
      </c>
      <c r="V26" s="104">
        <f t="shared" si="4"/>
        <v>0</v>
      </c>
      <c r="W26" s="104">
        <f t="shared" si="4"/>
        <v>0</v>
      </c>
      <c r="X26" s="544">
        <f t="shared" si="4"/>
        <v>0</v>
      </c>
      <c r="Y26" s="544">
        <f t="shared" si="4"/>
        <v>0</v>
      </c>
    </row>
    <row r="27" spans="2:24" ht="40" customHeight="1" thickBot="1">
      <c r="B27" s="545" t="s">
        <v>30</v>
      </c>
      <c r="C27" s="546">
        <f t="shared" ref="C27:Y27" si="5">C26-C19</f>
        <v>0</v>
      </c>
      <c r="D27" s="546">
        <f t="shared" si="5"/>
        <v>0</v>
      </c>
      <c r="E27" s="547">
        <f t="shared" si="5"/>
        <v>0</v>
      </c>
      <c r="F27" s="546">
        <f t="shared" si="5"/>
        <v>0</v>
      </c>
      <c r="G27" s="546">
        <f t="shared" si="5"/>
        <v>0</v>
      </c>
      <c r="H27" s="547">
        <f t="shared" si="5"/>
        <v>0</v>
      </c>
      <c r="I27" s="547">
        <f>I26-I19</f>
        <v>0</v>
      </c>
      <c r="J27" s="546">
        <f t="shared" si="5"/>
        <v>0</v>
      </c>
      <c r="K27" s="546">
        <f t="shared" si="5"/>
        <v>0</v>
      </c>
      <c r="L27" s="547">
        <f t="shared" si="5"/>
        <v>0</v>
      </c>
      <c r="M27" s="546">
        <f t="shared" si="5"/>
        <v>0</v>
      </c>
      <c r="N27" s="547">
        <f t="shared" si="5"/>
        <v>0</v>
      </c>
      <c r="O27" s="546">
        <f t="shared" si="5"/>
        <v>0</v>
      </c>
      <c r="P27" s="546">
        <f t="shared" si="5"/>
        <v>0</v>
      </c>
      <c r="Q27" s="546">
        <f t="shared" si="5"/>
        <v>0</v>
      </c>
      <c r="R27" s="546">
        <f t="shared" si="5"/>
        <v>0</v>
      </c>
      <c r="S27" s="546">
        <f t="shared" si="5"/>
        <v>0</v>
      </c>
      <c r="T27" s="546">
        <f t="shared" si="5"/>
        <v>0</v>
      </c>
      <c r="U27" s="546">
        <f t="shared" si="5"/>
        <v>0</v>
      </c>
      <c r="V27" s="546">
        <f t="shared" si="5"/>
        <v>0</v>
      </c>
      <c r="W27" s="546">
        <f t="shared" si="5"/>
        <v>0</v>
      </c>
      <c r="X27" s="547">
        <f t="shared" si="5"/>
        <v>0</v>
      </c>
      <c r="Y27" s="547">
        <f t="shared" si="5"/>
        <v>0</v>
      </c>
    </row>
    <row r="28" spans="2:24" ht="37" customHeight="1" thickBot="1"/>
    <row r="29" spans="2:24" s="526" customFormat="1" ht="40" customHeight="1" thickBot="1">
      <c r="B29" s="524" t="s">
        <v>31</v>
      </c>
      <c r="C29" s="135">
        <f t="shared" ref="C29:Y29" si="6">C19/C6</f>
        <v>0</v>
      </c>
      <c r="D29" s="135">
        <f t="shared" si="6"/>
        <v>0</v>
      </c>
      <c r="E29" s="525">
        <f t="shared" si="6"/>
        <v>0</v>
      </c>
      <c r="F29" s="135">
        <f t="shared" si="6"/>
        <v>0</v>
      </c>
      <c r="G29" s="135">
        <f t="shared" si="6"/>
        <v>0</v>
      </c>
      <c r="H29" s="525">
        <f t="shared" si="6"/>
        <v>0</v>
      </c>
      <c r="I29" s="525">
        <f>I19/I6</f>
        <v>0</v>
      </c>
      <c r="J29" s="135">
        <f t="shared" si="6"/>
        <v>0</v>
      </c>
      <c r="K29" s="135">
        <f t="shared" si="6"/>
        <v>0</v>
      </c>
      <c r="L29" s="525">
        <f t="shared" si="6"/>
        <v>0</v>
      </c>
      <c r="M29" s="135">
        <f t="shared" si="6"/>
        <v>0</v>
      </c>
      <c r="N29" s="525">
        <f t="shared" si="6"/>
        <v>0</v>
      </c>
      <c r="O29" s="135">
        <f t="shared" si="6"/>
        <v>0</v>
      </c>
      <c r="P29" s="135">
        <f t="shared" si="6"/>
        <v>0</v>
      </c>
      <c r="Q29" s="135">
        <f t="shared" si="6"/>
        <v>0</v>
      </c>
      <c r="R29" s="135">
        <f t="shared" si="6"/>
        <v>0</v>
      </c>
      <c r="S29" s="135">
        <f t="shared" si="6"/>
        <v>0</v>
      </c>
      <c r="T29" s="135">
        <f t="shared" si="6"/>
        <v>0</v>
      </c>
      <c r="U29" s="135">
        <f t="shared" si="6"/>
        <v>0</v>
      </c>
      <c r="V29" s="135">
        <f t="shared" si="6"/>
        <v>0</v>
      </c>
      <c r="W29" s="135">
        <f t="shared" si="6"/>
        <v>0</v>
      </c>
      <c r="X29" s="525">
        <f t="shared" si="6"/>
        <v>0</v>
      </c>
      <c r="Y29" s="525">
        <f t="shared" si="6"/>
        <v>0</v>
      </c>
    </row>
    <row r="30" spans="2:24" s="489" customFormat="1" ht="49" customHeight="1" thickBot="1">
      <c r="B30" s="543" t="s">
        <v>32</v>
      </c>
      <c r="C30" s="104">
        <f t="shared" ref="C30:Y30" si="7">C29+(C29*C28)</f>
        <v>0</v>
      </c>
      <c r="D30" s="104">
        <f t="shared" si="7"/>
        <v>0</v>
      </c>
      <c r="E30" s="544">
        <f t="shared" si="7"/>
        <v>0</v>
      </c>
      <c r="F30" s="104">
        <f t="shared" si="7"/>
        <v>0</v>
      </c>
      <c r="G30" s="104">
        <f t="shared" si="7"/>
        <v>0</v>
      </c>
      <c r="H30" s="544">
        <f t="shared" si="7"/>
        <v>0</v>
      </c>
      <c r="I30" s="544">
        <f>I29+(I29*I28)</f>
        <v>0</v>
      </c>
      <c r="J30" s="104">
        <f t="shared" si="7"/>
        <v>0</v>
      </c>
      <c r="K30" s="104">
        <f t="shared" si="7"/>
        <v>0</v>
      </c>
      <c r="L30" s="544">
        <f t="shared" si="7"/>
        <v>0</v>
      </c>
      <c r="M30" s="104">
        <f t="shared" si="7"/>
        <v>0</v>
      </c>
      <c r="N30" s="544">
        <f t="shared" si="7"/>
        <v>0</v>
      </c>
      <c r="O30" s="104">
        <f t="shared" si="7"/>
        <v>0</v>
      </c>
      <c r="P30" s="104">
        <f t="shared" si="7"/>
        <v>0</v>
      </c>
      <c r="Q30" s="104">
        <f t="shared" si="7"/>
        <v>0</v>
      </c>
      <c r="R30" s="104">
        <f t="shared" si="7"/>
        <v>0</v>
      </c>
      <c r="S30" s="104">
        <f t="shared" si="7"/>
        <v>0</v>
      </c>
      <c r="T30" s="104">
        <f t="shared" si="7"/>
        <v>0</v>
      </c>
      <c r="U30" s="104">
        <f t="shared" si="7"/>
        <v>0</v>
      </c>
      <c r="V30" s="104">
        <f t="shared" si="7"/>
        <v>0</v>
      </c>
      <c r="W30" s="104">
        <f t="shared" si="7"/>
        <v>0</v>
      </c>
      <c r="X30" s="544">
        <f t="shared" si="7"/>
        <v>0</v>
      </c>
      <c r="Y30" s="544">
        <f t="shared" si="7"/>
        <v>0</v>
      </c>
    </row>
    <row r="31" spans="2:24" ht="54" customHeight="1" thickBot="1">
      <c r="B31" s="545" t="s">
        <v>33</v>
      </c>
      <c r="C31" s="546">
        <f t="shared" ref="C31:Y31" si="8">C30-C24</f>
        <v>-0.04</v>
      </c>
      <c r="D31" s="546">
        <f t="shared" si="8"/>
        <v>0</v>
      </c>
      <c r="E31" s="547">
        <f t="shared" si="8"/>
        <v>0</v>
      </c>
      <c r="F31" s="546">
        <f t="shared" si="8"/>
        <v>0</v>
      </c>
      <c r="G31" s="546">
        <f t="shared" si="8"/>
        <v>0</v>
      </c>
      <c r="H31" s="547">
        <f t="shared" si="8"/>
        <v>0</v>
      </c>
      <c r="I31" s="547">
        <f>I30-I24</f>
        <v>0</v>
      </c>
      <c r="J31" s="546">
        <f t="shared" si="8"/>
        <v>0</v>
      </c>
      <c r="K31" s="546">
        <f t="shared" si="8"/>
        <v>0</v>
      </c>
      <c r="L31" s="547">
        <f t="shared" si="8"/>
        <v>0</v>
      </c>
      <c r="M31" s="546">
        <f t="shared" si="8"/>
        <v>0</v>
      </c>
      <c r="N31" s="547">
        <f t="shared" si="8"/>
        <v>0</v>
      </c>
      <c r="O31" s="546">
        <f t="shared" si="8"/>
        <v>0</v>
      </c>
      <c r="P31" s="546">
        <f t="shared" si="8"/>
        <v>0</v>
      </c>
      <c r="Q31" s="546">
        <f t="shared" si="8"/>
        <v>0</v>
      </c>
      <c r="R31" s="546">
        <f t="shared" si="8"/>
        <v>0</v>
      </c>
      <c r="S31" s="546">
        <f t="shared" si="8"/>
        <v>0</v>
      </c>
      <c r="T31" s="546">
        <f t="shared" si="8"/>
        <v>0</v>
      </c>
      <c r="U31" s="546">
        <f t="shared" si="8"/>
        <v>0</v>
      </c>
      <c r="V31" s="546">
        <f t="shared" si="8"/>
        <v>0</v>
      </c>
      <c r="W31" s="546">
        <f t="shared" si="8"/>
        <v>0</v>
      </c>
      <c r="X31" s="547">
        <f t="shared" si="8"/>
        <v>0</v>
      </c>
      <c r="Y31" s="547">
        <f t="shared" si="8"/>
        <v>0</v>
      </c>
    </row>
    <row r="32" spans="2:24" ht="20" customHeight="1"/>
    <row r="33" spans="2:24" ht="20" customHeight="1" thickBot="1"/>
    <row r="34" spans="2:24" ht="49" customHeight="1" thickBot="1">
      <c r="B34" s="548" t="s">
        <v>34</v>
      </c>
    </row>
    <row r="35" spans="2:24" ht="20" customHeight="1"/>
    <row r="36" spans="2:24" ht="20" customHeight="1"/>
    <row r="37" spans="2:24" ht="20" customHeight="1"/>
    <row r="38" spans="2:24" ht="20" customHeight="1" thickBot="1"/>
    <row r="39" spans="2:24" ht="40" customHeight="1" thickBot="1">
      <c r="B39" s="549" t="s">
        <v>35</v>
      </c>
      <c r="C39" s="550">
        <f t="array" ref="C39:C40">'BUDGET COIGUE 1'!G20:G21</f>
        <v>0</v>
      </c>
      <c r="D39" s="550">
        <f>SUM('BUDGET COIGUE 2'!G14:G19)</f>
        <v>0</v>
      </c>
      <c r="E39" s="551">
        <f>SUM('BUDGET COIGUE 2+1'!G14:G19)</f>
        <v>0</v>
      </c>
      <c r="F39" s="550">
        <f t="array" ref="F39:F40">'BUDGET NIRE 1'!G20:G21</f>
        <v>0</v>
      </c>
      <c r="G39" s="550">
        <f t="array" ref="G39:G40">'BUDGET NIRE 2'!G20:G21</f>
        <v>0</v>
      </c>
      <c r="H39" s="551">
        <f>SUM('BUDGET NIRE 2+1'!G14:G19)</f>
        <v>0</v>
      </c>
      <c r="J39" s="550">
        <f t="array" ref="J39:J40">'BUDGET CHAITEN 1'!G20:G21</f>
        <v>0</v>
      </c>
      <c r="K39" s="550">
        <f t="array" ref="K39:K40">'BUDGET CHAITEN 2'!G20:G21</f>
        <v>0</v>
      </c>
      <c r="M39" s="550">
        <f t="array" ref="M39:M40">'BUDGET CHAITEN 2+1'!G20:G21</f>
        <v>0</v>
      </c>
      <c r="N39" s="551" t="e">
        <f>SUM('BUDGET CHAITEN 2+2'!#REF!)</f>
        <v>#REF!</v>
      </c>
      <c r="O39" s="550">
        <f t="array" ref="O39:O40">'BUDGET CORCOVADO 1'!G20:G21</f>
        <v>0</v>
      </c>
      <c r="P39" s="550">
        <f t="array" ref="P39:P40">'BUDGET CORCOVADO 2'!G20:G21</f>
        <v>0</v>
      </c>
      <c r="Q39" s="550">
        <f t="array" ref="Q39:Q40">'BUDGET CORCOVADO 2+1'!G20:G21</f>
        <v>0</v>
      </c>
      <c r="R39" s="550">
        <f t="array" ref="R39:R40">'BUDGET CORCOVADO 2+2'!G20:G21</f>
        <v>0</v>
      </c>
      <c r="S39" s="550">
        <f t="array" ref="S39:S40">'BUDGET CORCOVADO 2+3'!G20:G21</f>
        <v>0</v>
      </c>
      <c r="T39" s="550">
        <f t="array" ref="T39:T40">'BUDGET CORCOVADO 3'!G20:G21</f>
        <v>0</v>
      </c>
      <c r="U39" s="550">
        <f t="array" ref="U39:U40">'BUDGET CORCOVADO 3+1'!G20:G21</f>
        <v>0</v>
      </c>
      <c r="V39" s="550">
        <f t="array" ref="V39:V40">'BUDGET CORCOVADO 3+2'!G20:G21</f>
        <v>0</v>
      </c>
      <c r="W39" s="550">
        <f t="array" ref="W39:W40">'BUDGET CORCOVADO 4'!G20:G21</f>
        <v>0</v>
      </c>
      <c r="X39" s="551">
        <f>SUM('BUDGET CORCOVADO 4+1'!G14:G19)</f>
        <v>0</v>
      </c>
      <c r="Y39" s="551">
        <f>SUM('BUDGET CORCOVADO 5'!G14:G19)</f>
        <v>0</v>
      </c>
    </row>
    <row r="40" spans="2:24" ht="20" hidden="1" customHeight="1">
      <c r="C40" s="7">
        <v>0</v>
      </c>
      <c r="F40" s="7">
        <v>0</v>
      </c>
      <c r="G40" s="7">
        <v>0</v>
      </c>
      <c r="H40" s="552"/>
      <c r="J40" s="7">
        <v>0</v>
      </c>
      <c r="K40" s="7">
        <v>0</v>
      </c>
      <c r="M40" s="7">
        <v>0</v>
      </c>
      <c r="N40" s="552"/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552"/>
      <c r="Y40" s="552"/>
    </row>
    <row r="41" spans="2:24" ht="25" customHeight="1">
      <c r="B41" s="553" t="s">
        <v>16</v>
      </c>
      <c r="C41" s="190">
        <f>'BUDGET COIGUE 1'!G14</f>
        <v>0</v>
      </c>
      <c r="D41" s="190">
        <f>'BUDGET COIGUE 2'!G14</f>
        <v>0</v>
      </c>
      <c r="E41" s="554">
        <f>'BUDGET COIGUE 2+1'!G14</f>
        <v>0</v>
      </c>
      <c r="F41" s="190">
        <f>'BUDGET NIRE 1'!G14</f>
        <v>0</v>
      </c>
      <c r="G41" s="190">
        <f>'BUDGET NIRE 2'!G14</f>
        <v>0</v>
      </c>
      <c r="H41" s="554">
        <f>'BUDGET NIRE 2+1'!G14</f>
        <v>0</v>
      </c>
      <c r="J41" s="190">
        <f>'BUDGET CHAITEN 1'!G14</f>
        <v>0</v>
      </c>
      <c r="K41" s="190">
        <f>'BUDGET CHAITEN 2'!G14</f>
        <v>0</v>
      </c>
      <c r="M41" s="190">
        <f>'BUDGET CHAITEN 2+1'!G14</f>
        <v>0</v>
      </c>
      <c r="N41" s="554" t="e">
        <f>'BUDGET CHAITEN 2+2'!#REF!</f>
        <v>#REF!</v>
      </c>
      <c r="O41" s="190">
        <f>'BUDGET CORCOVADO 1'!G14</f>
        <v>0</v>
      </c>
      <c r="P41" s="190">
        <f>'BUDGET CORCOVADO 2'!G14</f>
        <v>0</v>
      </c>
      <c r="Q41" s="190">
        <f>'BUDGET CORCOVADO 2+1'!G14</f>
        <v>0</v>
      </c>
      <c r="R41" s="190">
        <f>'BUDGET CORCOVADO 2+2'!G14</f>
        <v>0</v>
      </c>
      <c r="S41" s="190">
        <f>'BUDGET CORCOVADO 2+3'!G14</f>
        <v>0</v>
      </c>
      <c r="T41" s="190">
        <f>'BUDGET CORCOVADO 3'!G14</f>
        <v>0</v>
      </c>
      <c r="U41" s="190">
        <f>'BUDGET CORCOVADO 3+1'!G14</f>
        <v>0</v>
      </c>
      <c r="V41" s="190">
        <f>'BUDGET CORCOVADO 3+2'!G14</f>
        <v>0</v>
      </c>
      <c r="W41" s="190">
        <f>'BUDGET CORCOVADO 4'!G14</f>
        <v>0</v>
      </c>
      <c r="X41" s="554">
        <f>'BUDGET CORCOVADO 4+1'!G14</f>
        <v>0</v>
      </c>
      <c r="Y41" s="554">
        <f>'BUDGET CORCOVADO 5'!G14</f>
        <v>0</v>
      </c>
    </row>
    <row r="42" spans="2:24" ht="25" customHeight="1">
      <c r="B42" s="553" t="s">
        <v>17</v>
      </c>
      <c r="C42" s="190">
        <f>'BUDGET COIGUE 1'!G15</f>
        <v>0</v>
      </c>
      <c r="D42" s="190">
        <f>'BUDGET COIGUE 2'!G15</f>
        <v>0</v>
      </c>
      <c r="E42" s="554">
        <f>'BUDGET COIGUE 2+1'!G15</f>
        <v>0</v>
      </c>
      <c r="F42" s="190">
        <f>'BUDGET NIRE 1'!G15</f>
        <v>0</v>
      </c>
      <c r="G42" s="190">
        <f>'BUDGET NIRE 2'!G15</f>
        <v>0</v>
      </c>
      <c r="H42" s="554">
        <f>'BUDGET NIRE 2+1'!G15</f>
        <v>0</v>
      </c>
      <c r="J42" s="190">
        <f>'BUDGET CHAITEN 1'!G15</f>
        <v>0</v>
      </c>
      <c r="K42" s="190">
        <f>'BUDGET CHAITEN 2'!G15</f>
        <v>0</v>
      </c>
      <c r="M42" s="190">
        <f>'BUDGET CHAITEN 2+1'!G15</f>
        <v>0</v>
      </c>
      <c r="N42" s="554" t="e">
        <f>'BUDGET CHAITEN 2+2'!#REF!</f>
        <v>#REF!</v>
      </c>
      <c r="O42" s="190">
        <f>'BUDGET CORCOVADO 1'!G15</f>
        <v>0</v>
      </c>
      <c r="P42" s="190">
        <f>'BUDGET CORCOVADO 2'!G15</f>
        <v>0</v>
      </c>
      <c r="Q42" s="190">
        <f>'BUDGET CORCOVADO 2+1'!G15</f>
        <v>0</v>
      </c>
      <c r="R42" s="190">
        <f>'BUDGET CORCOVADO 2+2'!G15</f>
        <v>0</v>
      </c>
      <c r="S42" s="190">
        <f>'BUDGET CORCOVADO 2+3'!G15</f>
        <v>0</v>
      </c>
      <c r="T42" s="190">
        <f>'BUDGET CORCOVADO 3'!G15</f>
        <v>0</v>
      </c>
      <c r="U42" s="190">
        <f>'BUDGET CORCOVADO 3+1'!G15</f>
        <v>0</v>
      </c>
      <c r="V42" s="190">
        <f>'BUDGET CORCOVADO 3+2'!G15</f>
        <v>0</v>
      </c>
      <c r="W42" s="190">
        <f>'BUDGET CORCOVADO 4'!G15</f>
        <v>0</v>
      </c>
      <c r="X42" s="554">
        <f>'BUDGET CORCOVADO 4+1'!G15</f>
        <v>0</v>
      </c>
      <c r="Y42" s="554">
        <f>'BUDGET CORCOVADO 5'!G15</f>
        <v>0</v>
      </c>
    </row>
    <row r="43" spans="2:24" ht="25" customHeight="1">
      <c r="B43" s="553" t="s">
        <v>18</v>
      </c>
      <c r="C43" s="190">
        <f>'BUDGET COIGUE 1'!G16</f>
        <v>0</v>
      </c>
      <c r="D43" s="190">
        <f>'BUDGET COIGUE 2'!G16</f>
        <v>0</v>
      </c>
      <c r="E43" s="554">
        <f>'BUDGET COIGUE 2+1'!G16</f>
        <v>0</v>
      </c>
      <c r="F43" s="190">
        <f>'BUDGET NIRE 1'!G16</f>
        <v>0</v>
      </c>
      <c r="G43" s="190">
        <f>'BUDGET NIRE 2'!G16</f>
        <v>0</v>
      </c>
      <c r="H43" s="554">
        <f>'BUDGET NIRE 2+1'!G16</f>
        <v>0</v>
      </c>
      <c r="J43" s="190">
        <f>'BUDGET CHAITEN 1'!G16</f>
        <v>0</v>
      </c>
      <c r="K43" s="190">
        <f>'BUDGET CHAITEN 2'!G16</f>
        <v>0</v>
      </c>
      <c r="M43" s="190">
        <f>'BUDGET CHAITEN 2+1'!G16</f>
        <v>0</v>
      </c>
      <c r="N43" s="554" t="e">
        <f>'BUDGET CHAITEN 2+2'!#REF!</f>
        <v>#REF!</v>
      </c>
      <c r="O43" s="190">
        <f>'BUDGET CORCOVADO 1'!G16</f>
        <v>0</v>
      </c>
      <c r="P43" s="190">
        <f>'BUDGET CORCOVADO 2'!G16</f>
        <v>0</v>
      </c>
      <c r="Q43" s="190">
        <f>'BUDGET CORCOVADO 2+1'!G16</f>
        <v>0</v>
      </c>
      <c r="R43" s="190">
        <f>'BUDGET CORCOVADO 2+2'!G16</f>
        <v>0</v>
      </c>
      <c r="S43" s="190">
        <f>'BUDGET CORCOVADO 2+3'!G16</f>
        <v>0</v>
      </c>
      <c r="T43" s="190">
        <f>'BUDGET CORCOVADO 3'!G16</f>
        <v>0</v>
      </c>
      <c r="U43" s="190">
        <f>'BUDGET CORCOVADO 3+1'!G16</f>
        <v>0</v>
      </c>
      <c r="V43" s="190">
        <f>'BUDGET CORCOVADO 3+2'!G16</f>
        <v>0</v>
      </c>
      <c r="W43" s="190">
        <f>'BUDGET CORCOVADO 4'!G16</f>
        <v>0</v>
      </c>
      <c r="X43" s="554">
        <f>'BUDGET CORCOVADO 4+1'!G16</f>
        <v>0</v>
      </c>
      <c r="Y43" s="554">
        <f>'BUDGET CORCOVADO 5'!G16</f>
        <v>0</v>
      </c>
    </row>
    <row r="44" spans="2:24" ht="25" customHeight="1">
      <c r="B44" s="553" t="s">
        <v>19</v>
      </c>
      <c r="C44" s="190">
        <f>'BUDGET COIGUE 1'!G17</f>
        <v>0</v>
      </c>
      <c r="D44" s="190">
        <f>'BUDGET COIGUE 2'!G17</f>
        <v>0</v>
      </c>
      <c r="E44" s="554">
        <f>'BUDGET COIGUE 2+1'!G17</f>
        <v>0</v>
      </c>
      <c r="F44" s="190">
        <f>'BUDGET NIRE 1'!G17</f>
        <v>0</v>
      </c>
      <c r="G44" s="190">
        <f>'BUDGET NIRE 2'!G17</f>
        <v>0</v>
      </c>
      <c r="H44" s="554">
        <f>'BUDGET NIRE 2+1'!G17</f>
        <v>0</v>
      </c>
      <c r="J44" s="190">
        <f>'BUDGET CHAITEN 1'!G17</f>
        <v>0</v>
      </c>
      <c r="K44" s="190">
        <f>'BUDGET CHAITEN 2'!G17</f>
        <v>0</v>
      </c>
      <c r="M44" s="190">
        <f>'BUDGET CHAITEN 2+1'!G17</f>
        <v>0</v>
      </c>
      <c r="N44" s="554" t="e">
        <f>'BUDGET CHAITEN 2+2'!#REF!</f>
        <v>#REF!</v>
      </c>
      <c r="O44" s="190">
        <f>'BUDGET CORCOVADO 1'!G17</f>
        <v>0</v>
      </c>
      <c r="P44" s="190">
        <f>'BUDGET CORCOVADO 2'!G17</f>
        <v>0</v>
      </c>
      <c r="Q44" s="190">
        <f>'BUDGET CORCOVADO 2+1'!G17</f>
        <v>0</v>
      </c>
      <c r="R44" s="190">
        <f>'BUDGET CORCOVADO 2+2'!G17</f>
        <v>0</v>
      </c>
      <c r="S44" s="190">
        <f>'BUDGET CORCOVADO 2+3'!G17</f>
        <v>0</v>
      </c>
      <c r="T44" s="190">
        <f>'BUDGET CORCOVADO 3'!G17</f>
        <v>0</v>
      </c>
      <c r="U44" s="190">
        <f>'BUDGET CORCOVADO 3+1'!G17</f>
        <v>0</v>
      </c>
      <c r="V44" s="190">
        <f>'BUDGET CORCOVADO 3+2'!G17</f>
        <v>0</v>
      </c>
      <c r="W44" s="190">
        <f>'BUDGET CORCOVADO 4'!G17</f>
        <v>0</v>
      </c>
      <c r="X44" s="554">
        <f>'BUDGET CORCOVADO 4+1'!G17</f>
        <v>0</v>
      </c>
      <c r="Y44" s="554">
        <f>'BUDGET CORCOVADO 5'!G17</f>
        <v>0</v>
      </c>
    </row>
    <row r="45" spans="2:24" s="8" customFormat="1" ht="25" customHeight="1">
      <c r="B45" s="553" t="s">
        <v>20</v>
      </c>
      <c r="C45" s="190">
        <f>'BUDGET COIGUE 1'!G18</f>
        <v>0</v>
      </c>
      <c r="D45" s="190">
        <f>'BUDGET COIGUE 2'!G18</f>
        <v>0</v>
      </c>
      <c r="E45" s="554">
        <f>'BUDGET COIGUE 2+1'!G18</f>
        <v>0</v>
      </c>
      <c r="F45" s="190">
        <f>'BUDGET NIRE 1'!G18</f>
        <v>0</v>
      </c>
      <c r="G45" s="190">
        <f>'BUDGET NIRE 2'!G18</f>
        <v>0</v>
      </c>
      <c r="H45" s="554">
        <f>'BUDGET NIRE 2+1'!G18</f>
        <v>0</v>
      </c>
      <c r="J45" s="190">
        <f>'BUDGET CHAITEN 1'!G18</f>
        <v>0</v>
      </c>
      <c r="K45" s="190">
        <f>'BUDGET CHAITEN 2'!G18</f>
        <v>0</v>
      </c>
      <c r="M45" s="190">
        <f>'BUDGET CHAITEN 2+1'!G18</f>
        <v>0</v>
      </c>
      <c r="N45" s="554" t="e">
        <f>'BUDGET CHAITEN 2+2'!#REF!</f>
        <v>#REF!</v>
      </c>
      <c r="O45" s="190">
        <f>'BUDGET CORCOVADO 1'!G18</f>
        <v>0</v>
      </c>
      <c r="P45" s="190">
        <f>'BUDGET CORCOVADO 2'!G18</f>
        <v>0</v>
      </c>
      <c r="Q45" s="190">
        <f>'BUDGET CORCOVADO 2+1'!G18</f>
        <v>0</v>
      </c>
      <c r="R45" s="190">
        <f>'BUDGET CORCOVADO 2+2'!G18</f>
        <v>0</v>
      </c>
      <c r="S45" s="190">
        <f>'BUDGET CORCOVADO 2+3'!G18</f>
        <v>0</v>
      </c>
      <c r="T45" s="190">
        <f>'BUDGET CORCOVADO 3'!G18</f>
        <v>0</v>
      </c>
      <c r="U45" s="190">
        <f>'BUDGET CORCOVADO 3+1'!G18</f>
        <v>0</v>
      </c>
      <c r="V45" s="190">
        <f>'BUDGET CORCOVADO 3+2'!G18</f>
        <v>0</v>
      </c>
      <c r="W45" s="190">
        <f>'BUDGET CORCOVADO 4'!G18</f>
        <v>0</v>
      </c>
      <c r="X45" s="554">
        <f>'BUDGET CORCOVADO 4+1'!G18</f>
        <v>0</v>
      </c>
      <c r="Y45" s="554">
        <f>'BUDGET CORCOVADO 5'!G18</f>
        <v>0</v>
      </c>
    </row>
    <row r="46" spans="2:24" ht="25" customHeight="1">
      <c r="B46" s="553" t="s">
        <v>21</v>
      </c>
      <c r="C46" s="190">
        <f>'BUDGET COIGUE 1'!G19</f>
        <v>0</v>
      </c>
      <c r="D46" s="190">
        <f>'BUDGET COIGUE 2'!G19</f>
        <v>0</v>
      </c>
      <c r="E46" s="554">
        <f>'BUDGET COIGUE 2+1'!G19</f>
        <v>0</v>
      </c>
      <c r="F46" s="190">
        <f>'BUDGET NIRE 1'!G19</f>
        <v>0</v>
      </c>
      <c r="G46" s="190">
        <f>'BUDGET NIRE 2'!G19</f>
        <v>0</v>
      </c>
      <c r="H46" s="554">
        <f>'BUDGET NIRE 2+1'!G19</f>
        <v>0</v>
      </c>
      <c r="J46" s="190">
        <f>'BUDGET CHAITEN 1'!G19</f>
        <v>0</v>
      </c>
      <c r="K46" s="190">
        <f>'BUDGET CHAITEN 2'!G19</f>
        <v>0</v>
      </c>
      <c r="M46" s="190">
        <f>'BUDGET CHAITEN 2+1'!G19</f>
        <v>0</v>
      </c>
      <c r="N46" s="554" t="e">
        <f>'BUDGET CHAITEN 2+2'!#REF!</f>
        <v>#REF!</v>
      </c>
      <c r="O46" s="190">
        <f>'BUDGET CORCOVADO 1'!G19</f>
        <v>0</v>
      </c>
      <c r="P46" s="190">
        <f>'BUDGET CORCOVADO 2'!G19</f>
        <v>0</v>
      </c>
      <c r="Q46" s="190">
        <f>'BUDGET CORCOVADO 2+1'!G19</f>
        <v>0</v>
      </c>
      <c r="R46" s="190">
        <f>'BUDGET CORCOVADO 2+2'!G19</f>
        <v>0</v>
      </c>
      <c r="S46" s="190">
        <f>'BUDGET CORCOVADO 2+3'!G19</f>
        <v>0</v>
      </c>
      <c r="T46" s="190">
        <f>'BUDGET CORCOVADO 3'!G19</f>
        <v>0</v>
      </c>
      <c r="U46" s="190">
        <f>'BUDGET CORCOVADO 3+1'!G19</f>
        <v>0</v>
      </c>
      <c r="V46" s="190">
        <f>'BUDGET CORCOVADO 3+2'!G19</f>
        <v>0</v>
      </c>
      <c r="W46" s="190">
        <f>'BUDGET CORCOVADO 4'!G19</f>
        <v>0</v>
      </c>
      <c r="X46" s="554">
        <f>'BUDGET CORCOVADO 4+1'!G19</f>
        <v>0</v>
      </c>
      <c r="Y46" s="554">
        <f>'BUDGET CORCOVADO 5'!G19</f>
        <v>0</v>
      </c>
    </row>
    <row r="47" spans="2:24" ht="20" hidden="1" customHeight="1"/>
    <row r="48" spans="2:24" ht="20" customHeight="1"/>
    <row r="49" spans="2:13" ht="20" customHeight="1"/>
    <row r="50" spans="2:13" ht="20" customHeight="1"/>
    <row r="51" spans="2:13" ht="20" customHeight="1"/>
    <row r="52" spans="2:13" ht="20" customHeight="1"/>
    <row r="53" spans="2:13" ht="20" customHeight="1"/>
    <row r="54" spans="2:13" ht="48" customHeight="1"/>
    <row r="55" spans="2:13" s="8" customFormat="1" ht="11" customHeight="1">
      <c r="B55" s="6"/>
      <c r="C55" s="7"/>
      <c r="D55" s="7"/>
      <c r="E55" s="7"/>
      <c r="F55" s="7"/>
      <c r="G55" s="7"/>
      <c r="H55" s="7"/>
      <c r="J55" s="7"/>
      <c r="K55" s="7"/>
      <c r="M55" s="7"/>
      <c r="N55" s="7"/>
    </row>
    <row r="56" spans="2:13" s="10" customFormat="1" ht="42" customHeight="1">
      <c r="B56" s="9"/>
      <c r="E56" s="9"/>
      <c r="H56" s="9"/>
      <c r="N56" s="9"/>
    </row>
    <row r="57" spans="2:13" ht="20" customHeight="1"/>
    <row r="58" spans="2:13" ht="20" customHeight="1"/>
    <row r="59" spans="2:13" ht="20" customHeight="1"/>
    <row r="60" spans="2:13" ht="20" customHeight="1"/>
    <row r="61" spans="2:13" ht="20" customHeight="1"/>
    <row r="62" spans="2:13" ht="20" customHeight="1"/>
    <row r="63" spans="2:13" ht="20" customHeight="1"/>
    <row r="64" spans="2:13" ht="20" customHeight="1"/>
    <row r="65" spans="2:13" ht="20" customHeight="1"/>
    <row r="66" spans="2:13" ht="20" customHeight="1"/>
    <row r="67" spans="2:13" ht="48" customHeight="1"/>
    <row r="68" spans="2:13" s="8" customFormat="1" ht="11" customHeight="1">
      <c r="B68" s="6"/>
      <c r="C68" s="7"/>
      <c r="D68" s="7"/>
      <c r="E68" s="7"/>
      <c r="F68" s="7"/>
      <c r="G68" s="7"/>
      <c r="H68" s="7"/>
      <c r="J68" s="7"/>
      <c r="K68" s="7"/>
      <c r="M68" s="7"/>
      <c r="N68" s="7"/>
    </row>
    <row r="69" spans="2:13" ht="37" customHeight="1"/>
    <row r="70" spans="2:13" ht="20" customHeight="1"/>
    <row r="71" spans="2:13" ht="20" customHeight="1"/>
    <row r="72" spans="2:13" ht="20" customHeight="1"/>
    <row r="73" spans="2:13" ht="20" customHeight="1"/>
    <row r="74" spans="2:13" ht="20" customHeight="1"/>
    <row r="75" spans="2:13" ht="44" customHeight="1"/>
    <row r="76" spans="2:13" s="8" customFormat="1" ht="11" customHeight="1">
      <c r="B76" s="6"/>
      <c r="C76" s="7"/>
      <c r="D76" s="7"/>
      <c r="E76" s="7"/>
      <c r="F76" s="7"/>
      <c r="G76" s="7"/>
      <c r="H76" s="7"/>
      <c r="J76" s="7"/>
      <c r="K76" s="7"/>
      <c r="M76" s="7"/>
      <c r="N76" s="7"/>
    </row>
    <row r="77" spans="2:13" s="9" customFormat="1" ht="42" customHeight="1"/>
    <row r="78" spans="2:13" ht="20" customHeight="1"/>
    <row r="79" spans="2:13" ht="20" customHeight="1"/>
    <row r="80" spans="2:13" ht="20" customHeight="1"/>
    <row r="81" spans="2:13" ht="41" customHeight="1"/>
    <row r="82" spans="2:13" s="8" customFormat="1" ht="11" customHeight="1">
      <c r="B82" s="6"/>
      <c r="C82" s="7"/>
      <c r="D82" s="7"/>
      <c r="E82" s="7"/>
      <c r="F82" s="7"/>
      <c r="G82" s="7"/>
      <c r="H82" s="7"/>
      <c r="J82" s="7"/>
      <c r="K82" s="7"/>
      <c r="M82" s="7"/>
      <c r="N82" s="7"/>
    </row>
    <row r="83" spans="2:13" ht="38" customHeight="1"/>
    <row r="84" spans="2:13" ht="20" customHeight="1"/>
    <row r="85" spans="2:13" ht="20" customHeight="1"/>
    <row r="86" spans="2:13" ht="20" customHeight="1"/>
    <row r="87" spans="2:13" ht="20" customHeight="1"/>
    <row r="88" spans="2:13" ht="20" customHeight="1"/>
    <row r="89" spans="2:13" ht="20" customHeight="1"/>
    <row r="90" spans="2:13" ht="41" customHeight="1"/>
    <row r="91" spans="2:13" s="8" customFormat="1" ht="11" customHeight="1">
      <c r="B91" s="6"/>
      <c r="C91" s="7"/>
      <c r="D91" s="7"/>
      <c r="E91" s="7"/>
      <c r="F91" s="7"/>
      <c r="G91" s="7"/>
      <c r="H91" s="7"/>
      <c r="J91" s="7"/>
      <c r="K91" s="7"/>
      <c r="M91" s="7"/>
      <c r="N91" s="7"/>
    </row>
    <row r="92" spans="2:13" ht="38" customHeight="1"/>
    <row r="93" spans="2:13" ht="23" customHeight="1"/>
    <row r="94" spans="2:13" ht="42" customHeight="1"/>
    <row r="95" spans="2:13" s="6" customFormat="1" ht="20" customHeight="1">
      <c r="C95" s="7"/>
      <c r="D95" s="7"/>
      <c r="E95" s="552"/>
      <c r="F95" s="7"/>
      <c r="G95" s="7"/>
      <c r="H95" s="552"/>
      <c r="J95" s="7"/>
      <c r="K95" s="7"/>
      <c r="M95" s="7"/>
      <c r="N95" s="552"/>
    </row>
    <row r="96" spans="2:13" ht="9" customHeight="1"/>
  </sheetData>
  <sheetProtection sheet="1" objects="1" scenarios="1"/>
  <mergeCells count="1">
    <mergeCell ref="B5:B8"/>
  </mergeCells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U47"/>
  <sheetViews>
    <sheetView topLeftCell="A2" zoomScale="133" zoomScaleNormal="84" workbookViewId="0">
      <selection activeCell="A2" sqref="A1:XFD1048576"/>
    </sheetView>
  </sheetViews>
  <sheetFormatPr baseColWidth="10" defaultColWidth="11" defaultRowHeight="17"/>
  <cols>
    <col min="1" max="1" width="11" style="557" customWidth="1"/>
    <col min="2" max="2" width="24.19921875" style="556" customWidth="1"/>
    <col min="3" max="3" width="16.3984375" style="557" customWidth="1"/>
    <col min="4" max="4" width="32.3984375" style="557" customWidth="1"/>
    <col min="5" max="5" width="30.59765625" style="558" customWidth="1"/>
    <col min="6" max="6" width="11" style="557" customWidth="1"/>
    <col min="7" max="7" width="11" style="559" customWidth="1"/>
    <col min="8" max="8" width="37" style="559" customWidth="1"/>
    <col min="9" max="9" width="32" style="559" customWidth="1"/>
    <col min="10" max="14" width="11" style="559" customWidth="1"/>
    <col min="15" max="15" width="25" style="559" customWidth="1"/>
    <col min="16" max="21" width="11" style="559" customWidth="1"/>
    <col min="22" max="37" width="11" style="557" customWidth="1"/>
    <col min="38" max="16384" width="11" style="557"/>
  </cols>
  <sheetData>
    <row r="1" spans="2:21" ht="22" hidden="1" customHeight="1" thickBot="1"/>
    <row r="2" spans="2:21" s="556" customFormat="1" ht="41" customHeight="1" thickBot="1">
      <c r="B2" s="560"/>
      <c r="C2" s="561"/>
      <c r="D2" s="562"/>
      <c r="E2" s="563"/>
      <c r="G2" s="559"/>
      <c r="H2" s="559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</row>
    <row r="3" spans="2:21" s="566" customFormat="1" ht="45" customHeight="1" thickBot="1">
      <c r="B3" s="564" t="s">
        <v>105</v>
      </c>
      <c r="C3" s="735" t="str">
        <f>CALENDAR!K2</f>
        <v>NOME CLIENTE | PROGRAMA</v>
      </c>
      <c r="D3" s="696"/>
      <c r="E3" s="565"/>
      <c r="G3" s="559"/>
      <c r="H3" s="559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</row>
    <row r="4" spans="2:21" s="566" customFormat="1" ht="45" customHeight="1" thickBot="1">
      <c r="B4" s="567" t="s">
        <v>106</v>
      </c>
      <c r="C4" s="737">
        <f>CALENDAR!C2</f>
        <v>0</v>
      </c>
      <c r="D4" s="696"/>
      <c r="E4" s="565"/>
      <c r="G4" s="559"/>
      <c r="H4" s="559"/>
      <c r="I4" s="559"/>
      <c r="J4" s="559"/>
      <c r="K4" s="559"/>
      <c r="L4" s="559"/>
      <c r="M4" s="559"/>
      <c r="N4" s="559"/>
      <c r="O4" s="559"/>
      <c r="P4" s="559"/>
      <c r="Q4" s="559"/>
      <c r="R4" s="559"/>
      <c r="S4" s="559"/>
      <c r="T4" s="559"/>
      <c r="U4" s="559"/>
    </row>
    <row r="5" spans="2:21" s="566" customFormat="1" ht="45" customHeight="1" thickBot="1">
      <c r="B5" s="568" t="s">
        <v>107</v>
      </c>
      <c r="C5" s="733">
        <f>CALENDAR!C3</f>
        <v>0</v>
      </c>
      <c r="D5" s="696"/>
      <c r="E5" s="565"/>
      <c r="G5" s="559"/>
      <c r="H5" s="569" t="s">
        <v>108</v>
      </c>
      <c r="I5" s="569">
        <f>'BUDGET RESUMO'!C8*'BUDGET RESUMO'!C6+'BUDGET RESUMO'!D8*'BUDGET RESUMO'!D6+'BUDGET RESUMO'!F6*'BUDGET RESUMO'!F8+'BUDGET RESUMO'!G8*'BUDGET RESUMO'!G6+'BUDGET RESUMO'!I6*'BUDGET RESUMO'!I8+'BUDGET RESUMO'!J8*'BUDGET RESUMO'!J6+'BUDGET RESUMO'!L6*'BUDGET RESUMO'!L8+'BUDGET RESUMO'!N8*'BUDGET RESUMO'!N6+'BUDGET RESUMO'!O6*'BUDGET RESUMO'!O8+'BUDGET RESUMO'!P8*'BUDGET RESUMO'!P6+'BUDGET RESUMO'!Q6*'BUDGET RESUMO'!Q8+'BUDGET RESUMO'!R8*'BUDGET RESUMO'!R6+'BUDGET RESUMO'!S6*'BUDGET RESUMO'!S8+'BUDGET RESUMO'!T8*'BUDGET RESUMO'!T6+'BUDGET RESUMO'!U6*'BUDGET RESUMO'!U8+'BUDGET RESUMO'!V8*'BUDGET RESUMO'!V6+'BUDGET RESUMO'!E8*'BUDGET RESUMO'!E6+'BUDGET RESUMO'!H8*'BUDGET RESUMO'!H6+'BUDGET RESUMO'!M8*'BUDGET RESUMO'!M6+'BUDGET RESUMO'!X8*'BUDGET RESUMO'!X6+'BUDGET RESUMO'!W8*'BUDGET RESUMO'!W6+'BUDGET RESUMO'!K8*'BUDGET RESUMO'!K6</f>
        <v>0</v>
      </c>
      <c r="J5" s="559"/>
      <c r="K5" s="559"/>
      <c r="L5" s="559"/>
      <c r="M5" s="559"/>
      <c r="N5" s="559"/>
      <c r="O5" s="559"/>
      <c r="P5" s="559"/>
      <c r="Q5" s="559"/>
      <c r="R5" s="559"/>
      <c r="S5" s="559"/>
      <c r="T5" s="559"/>
      <c r="U5" s="559"/>
    </row>
    <row r="6" spans="2:21" s="566" customFormat="1" ht="45" customHeight="1" thickBot="1">
      <c r="B6" s="570" t="s">
        <v>109</v>
      </c>
      <c r="C6" s="725">
        <f>CALENDAR!J2</f>
        <v>0</v>
      </c>
      <c r="D6" s="696"/>
      <c r="E6" s="571"/>
      <c r="G6" s="559"/>
      <c r="H6" s="572" t="s">
        <v>110</v>
      </c>
      <c r="I6" s="573" t="e">
        <f>I7/C6</f>
        <v>#DIV/0!</v>
      </c>
      <c r="J6" s="559"/>
      <c r="K6" s="559"/>
      <c r="L6" s="559"/>
      <c r="M6" s="559"/>
      <c r="N6" s="559"/>
      <c r="O6" s="559"/>
      <c r="P6" s="559"/>
      <c r="Q6" s="559"/>
      <c r="R6" s="559"/>
      <c r="S6" s="559"/>
      <c r="T6" s="559"/>
      <c r="U6" s="559"/>
    </row>
    <row r="7" spans="2:21" ht="69" customHeight="1" thickBot="1">
      <c r="B7" s="574"/>
      <c r="C7" s="575"/>
      <c r="D7" s="575"/>
      <c r="E7" s="576"/>
      <c r="H7" s="577" t="s">
        <v>111</v>
      </c>
      <c r="I7" s="578">
        <f>I8+E11</f>
        <v>0</v>
      </c>
    </row>
    <row r="8" spans="2:21" ht="69" customHeight="1" thickBot="1">
      <c r="B8" s="724" t="s">
        <v>112</v>
      </c>
      <c r="C8" s="673"/>
      <c r="D8" s="673"/>
      <c r="E8" s="696"/>
      <c r="F8" s="734" t="s">
        <v>34</v>
      </c>
      <c r="G8" s="696"/>
      <c r="H8" s="579" t="s">
        <v>113</v>
      </c>
      <c r="I8" s="579">
        <f>H13+H15+H17+H19+H21+H23</f>
        <v>0</v>
      </c>
    </row>
    <row r="9" spans="2:21" ht="20" customHeight="1" thickBot="1">
      <c r="B9" s="574"/>
      <c r="C9" s="575"/>
      <c r="D9" s="575"/>
      <c r="E9" s="580"/>
      <c r="H9" s="581"/>
    </row>
    <row r="10" spans="2:21" ht="46" customHeight="1" thickBot="1">
      <c r="B10" s="582" t="s">
        <v>114</v>
      </c>
      <c r="C10" s="583"/>
      <c r="D10" s="583"/>
      <c r="E10" s="584"/>
      <c r="H10" s="581"/>
    </row>
    <row r="11" spans="2:21" ht="42" customHeight="1" thickBot="1">
      <c r="B11" s="585"/>
      <c r="C11" s="586"/>
      <c r="D11" s="586"/>
      <c r="E11" s="587">
        <f>('BUDGET RESUMO'!C10*'BUDGET RESUMO'!$C$8)+('BUDGET RESUMO'!D10*'BUDGET RESUMO'!$D$8)+('BUDGET RESUMO'!F10*'BUDGET RESUMO'!$F$8)+('BUDGET RESUMO'!G10*'BUDGET RESUMO'!$G$8)+('BUDGET RESUMO'!J10*'BUDGET RESUMO'!$J$8)+('BUDGET RESUMO'!K10*'BUDGET RESUMO'!$K$8)+('BUDGET RESUMO'!M10*'BUDGET RESUMO'!$M$8)+('BUDGET RESUMO'!O10*'BUDGET RESUMO'!$O$8)+('BUDGET RESUMO'!P10*'BUDGET RESUMO'!$P$8)+('BUDGET RESUMO'!Q10*'BUDGET RESUMO'!$Q$8)+('BUDGET RESUMO'!R10*'BUDGET RESUMO'!$R$8)+('BUDGET RESUMO'!S10*'BUDGET RESUMO'!$S$8)+('BUDGET RESUMO'!T10*'BUDGET RESUMO'!$T$8)+('BUDGET RESUMO'!U10*'BUDGET RESUMO'!$U$8)+('BUDGET RESUMO'!V10*'BUDGET RESUMO'!$V$8)+('BUDGET RESUMO'!W10*'BUDGET RESUMO'!$W$8)+('BUDGET RESUMO'!E10*'BUDGET RESUMO'!$E$8)+('BUDGET RESUMO'!H10*'BUDGET RESUMO'!$H$8)+('BUDGET RESUMO'!N10*'BUDGET RESUMO'!$N$8)+('BUDGET RESUMO'!Y10*'BUDGET RESUMO'!$Y$8)+('BUDGET RESUMO'!X10*'BUDGET RESUMO'!$X$8)+('BUDGET RESUMO'!L10*'BUDGET RESUMO'!$L$8)+('BUDGET RESUMO'!I10*'BUDGET RESUMO'!$I$8)</f>
        <v>0</v>
      </c>
      <c r="H11" s="581"/>
    </row>
    <row r="12" spans="2:21" ht="31" customHeight="1" thickBot="1">
      <c r="B12" s="588" t="s">
        <v>51</v>
      </c>
      <c r="C12" s="736"/>
      <c r="D12" s="673"/>
      <c r="E12" s="696"/>
      <c r="H12" s="581"/>
    </row>
    <row r="13" spans="2:21" ht="34" customHeight="1" thickBot="1">
      <c r="B13" s="589"/>
      <c r="C13" s="590"/>
      <c r="D13" s="590"/>
      <c r="E13" s="591">
        <f>('BUDGET RESUMO'!C11*'BUDGET RESUMO'!$C$8)+('BUDGET RESUMO'!D11*'BUDGET RESUMO'!$D$8)+('BUDGET RESUMO'!F11*'BUDGET RESUMO'!$F$8)+('BUDGET RESUMO'!G11*'BUDGET RESUMO'!$G$8)+('BUDGET RESUMO'!J11*'BUDGET RESUMO'!$J$8)+('BUDGET RESUMO'!K11*'BUDGET RESUMO'!$K$8)+('BUDGET RESUMO'!M11*'BUDGET RESUMO'!$M$8)+('BUDGET RESUMO'!O11*'BUDGET RESUMO'!$O$8)+('BUDGET RESUMO'!P11*'BUDGET RESUMO'!$P$8)+('BUDGET RESUMO'!Q11*'BUDGET RESUMO'!$Q$8)+('BUDGET RESUMO'!R11*'BUDGET RESUMO'!$R$8)+('BUDGET RESUMO'!S11*'BUDGET RESUMO'!$S$8)+('BUDGET RESUMO'!T11*'BUDGET RESUMO'!$T$8)+('BUDGET RESUMO'!U11*'BUDGET RESUMO'!$U$8)+('BUDGET RESUMO'!V11*'BUDGET RESUMO'!$V$8)+('BUDGET RESUMO'!W11*'BUDGET RESUMO'!$W$8)+('BUDGET RESUMO'!E11*'BUDGET RESUMO'!$E$8)+('BUDGET RESUMO'!H11*'BUDGET RESUMO'!$H$8)+('BUDGET RESUMO'!N11*'BUDGET RESUMO'!$N$8)+('BUDGET RESUMO'!Y11*'BUDGET RESUMO'!$Y$8)+('BUDGET RESUMO'!X11*'BUDGET RESUMO'!$X$8)+('BUDGET RESUMO'!L11*'BUDGET RESUMO'!$L$8)+('BUDGET RESUMO'!I11*'BUDGET RESUMO'!$I$8)</f>
        <v>0</v>
      </c>
      <c r="G13" s="592">
        <f>E13*0.2</f>
        <v>0</v>
      </c>
      <c r="H13" s="593">
        <f>0.2*E13</f>
        <v>0</v>
      </c>
      <c r="I13" s="594"/>
    </row>
    <row r="14" spans="2:21" ht="39" customHeight="1" thickBot="1">
      <c r="B14" s="595" t="s">
        <v>115</v>
      </c>
      <c r="C14" s="596"/>
      <c r="D14" s="596"/>
      <c r="E14" s="597"/>
      <c r="H14" s="581"/>
    </row>
    <row r="15" spans="2:21" ht="34" customHeight="1" thickBot="1">
      <c r="B15" s="598"/>
      <c r="C15" s="599"/>
      <c r="D15" s="599"/>
      <c r="E15" s="600">
        <f>('BUDGET RESUMO'!C12*'BUDGET RESUMO'!$C$8)+('BUDGET RESUMO'!D12*'BUDGET RESUMO'!$D$8)+('BUDGET RESUMO'!F12*'BUDGET RESUMO'!$F$8)+('BUDGET RESUMO'!G12*'BUDGET RESUMO'!$G$8)+('BUDGET RESUMO'!J12*'BUDGET RESUMO'!$J$8)+('BUDGET RESUMO'!K12*'BUDGET RESUMO'!$K$8)+('BUDGET RESUMO'!M12*'BUDGET RESUMO'!$M$8)+('BUDGET RESUMO'!O12*'BUDGET RESUMO'!$O$8)+('BUDGET RESUMO'!P12*'BUDGET RESUMO'!$P$8)+('BUDGET RESUMO'!Q12*'BUDGET RESUMO'!$Q$8)+('BUDGET RESUMO'!R12*'BUDGET RESUMO'!$R$8)+('BUDGET RESUMO'!S12*'BUDGET RESUMO'!$S$8)+('BUDGET RESUMO'!T12*'BUDGET RESUMO'!$T$8)+('BUDGET RESUMO'!U12*'BUDGET RESUMO'!$U$8)+('BUDGET RESUMO'!V12*'BUDGET RESUMO'!$V$8)+('BUDGET RESUMO'!W12*'BUDGET RESUMO'!$W$8)+('BUDGET RESUMO'!E12*'BUDGET RESUMO'!$E$8)+('BUDGET RESUMO'!H12*'BUDGET RESUMO'!$H$8)+('BUDGET RESUMO'!N12*'BUDGET RESUMO'!$N$8)+('BUDGET RESUMO'!Y12*'BUDGET RESUMO'!$Y$8)+('BUDGET RESUMO'!X12*'BUDGET RESUMO'!$X$8)+('BUDGET RESUMO'!L12*'BUDGET RESUMO'!$L$8)+('BUDGET RESUMO'!I12*'BUDGET RESUMO'!$I$8)</f>
        <v>0</v>
      </c>
      <c r="H15" s="593">
        <f>0.2*E15</f>
        <v>0</v>
      </c>
    </row>
    <row r="16" spans="2:21" ht="53" customHeight="1" thickBot="1">
      <c r="B16" s="601" t="s">
        <v>18</v>
      </c>
      <c r="C16" s="602"/>
      <c r="D16" s="603"/>
      <c r="E16" s="604"/>
      <c r="H16" s="581"/>
    </row>
    <row r="17" spans="2:21" ht="34" customHeight="1" thickBot="1">
      <c r="B17" s="605"/>
      <c r="C17" s="606"/>
      <c r="D17" s="606"/>
      <c r="E17" s="607">
        <f>('BUDGET RESUMO'!C13*'BUDGET RESUMO'!$C$8)+('BUDGET RESUMO'!D13*'BUDGET RESUMO'!$D$8)+('BUDGET RESUMO'!F13*'BUDGET RESUMO'!$F$8)+('BUDGET RESUMO'!G13*'BUDGET RESUMO'!$G$8)+('BUDGET RESUMO'!J13*'BUDGET RESUMO'!$J$8)+('BUDGET RESUMO'!K13*'BUDGET RESUMO'!$K$8)+('BUDGET RESUMO'!M13*'BUDGET RESUMO'!$M$8)+('BUDGET RESUMO'!O13*'BUDGET RESUMO'!$O$8)+('BUDGET RESUMO'!P13*'BUDGET RESUMO'!$P$8)+('BUDGET RESUMO'!Q13*'BUDGET RESUMO'!$Q$8)+('BUDGET RESUMO'!R13*'BUDGET RESUMO'!$R$8)+('BUDGET RESUMO'!S13*'BUDGET RESUMO'!$S$8)+('BUDGET RESUMO'!T13*'BUDGET RESUMO'!$T$8)+('BUDGET RESUMO'!U13*'BUDGET RESUMO'!$U$8)+('BUDGET RESUMO'!V13*'BUDGET RESUMO'!$V$8)+('BUDGET RESUMO'!W13*'BUDGET RESUMO'!$W$8)+('BUDGET RESUMO'!E13*'BUDGET RESUMO'!$E$8)+('BUDGET RESUMO'!H13*'BUDGET RESUMO'!$H$8)+('BUDGET RESUMO'!N13*'BUDGET RESUMO'!$N$8)+('BUDGET RESUMO'!Y13*'BUDGET RESUMO'!$Y$8)+('BUDGET RESUMO'!X13*'BUDGET RESUMO'!$X$8)+('BUDGET RESUMO'!L13*'BUDGET RESUMO'!$L$8)+('BUDGET RESUMO'!I13*'BUDGET RESUMO'!$I$8)</f>
        <v>0</v>
      </c>
      <c r="H17" s="593">
        <f>0.2*E17</f>
        <v>0</v>
      </c>
    </row>
    <row r="18" spans="2:21" ht="34" customHeight="1" thickBot="1">
      <c r="B18" s="608" t="s">
        <v>116</v>
      </c>
      <c r="C18" s="609"/>
      <c r="D18" s="610"/>
      <c r="E18" s="611"/>
      <c r="H18" s="581"/>
    </row>
    <row r="19" spans="2:21" ht="38" customHeight="1" thickBot="1">
      <c r="B19" s="612"/>
      <c r="C19" s="609"/>
      <c r="D19" s="609"/>
      <c r="E19" s="613">
        <f>('BUDGET RESUMO'!C14*'BUDGET RESUMO'!$C$8)+('BUDGET RESUMO'!D14*'BUDGET RESUMO'!$D$8)+('BUDGET RESUMO'!F14*'BUDGET RESUMO'!$F$8)+('BUDGET RESUMO'!G14*'BUDGET RESUMO'!$G$8)+('BUDGET RESUMO'!J14*'BUDGET RESUMO'!$J$8)+('BUDGET RESUMO'!K14*'BUDGET RESUMO'!$K$8)+('BUDGET RESUMO'!M14*'BUDGET RESUMO'!$M$8)+('BUDGET RESUMO'!O14*'BUDGET RESUMO'!$O$8)+('BUDGET RESUMO'!P14*'BUDGET RESUMO'!$P$8)+('BUDGET RESUMO'!Q14*'BUDGET RESUMO'!$Q$8)+('BUDGET RESUMO'!R14*'BUDGET RESUMO'!$R$8)+('BUDGET RESUMO'!S14*'BUDGET RESUMO'!$S$8)+('BUDGET RESUMO'!T14*'BUDGET RESUMO'!$T$8)+('BUDGET RESUMO'!U14*'BUDGET RESUMO'!$U$8)+('BUDGET RESUMO'!V14*'BUDGET RESUMO'!$V$8)+('BUDGET RESUMO'!W14*'BUDGET RESUMO'!$W$8)+('BUDGET RESUMO'!E14*'BUDGET RESUMO'!$E$8)+('BUDGET RESUMO'!H14*'BUDGET RESUMO'!$H$8)+('BUDGET RESUMO'!N14*'BUDGET RESUMO'!$N$8)+('BUDGET RESUMO'!Y14*'BUDGET RESUMO'!$Y$8)+('BUDGET RESUMO'!X14*'BUDGET RESUMO'!$X$8)+('BUDGET RESUMO'!L14*'BUDGET RESUMO'!$L$8)+('BUDGET RESUMO'!I14*'BUDGET RESUMO'!$I$8)</f>
        <v>0</v>
      </c>
      <c r="H19" s="593">
        <f>0.2*E19</f>
        <v>0</v>
      </c>
    </row>
    <row r="20" spans="2:21" ht="41" customHeight="1" thickBot="1">
      <c r="B20" s="614" t="s">
        <v>117</v>
      </c>
      <c r="C20" s="615"/>
      <c r="D20" s="615"/>
      <c r="E20" s="616"/>
      <c r="H20" s="581"/>
    </row>
    <row r="21" spans="2:21" ht="38" customHeight="1" thickBot="1">
      <c r="B21" s="617"/>
      <c r="C21" s="618"/>
      <c r="D21" s="618"/>
      <c r="E21" s="619">
        <f>('BUDGET RESUMO'!C15*'BUDGET RESUMO'!$C$8)+('BUDGET RESUMO'!D15*'BUDGET RESUMO'!$D$8)+('BUDGET RESUMO'!F15*'BUDGET RESUMO'!$F$8)+('BUDGET RESUMO'!G15*'BUDGET RESUMO'!$G$8)+('BUDGET RESUMO'!J15*'BUDGET RESUMO'!$J$8)+('BUDGET RESUMO'!K15*'BUDGET RESUMO'!$K$8)+('BUDGET RESUMO'!M15*'BUDGET RESUMO'!$M$8)+('BUDGET RESUMO'!O15*'BUDGET RESUMO'!$O$8)+('BUDGET RESUMO'!P15*'BUDGET RESUMO'!$P$8)+('BUDGET RESUMO'!Q15*'BUDGET RESUMO'!$Q$8)+('BUDGET RESUMO'!R15*'BUDGET RESUMO'!$R$8)+('BUDGET RESUMO'!S15*'BUDGET RESUMO'!$S$8)+('BUDGET RESUMO'!T15*'BUDGET RESUMO'!$T$8)+('BUDGET RESUMO'!U15*'BUDGET RESUMO'!$U$8)+('BUDGET RESUMO'!V15*'BUDGET RESUMO'!$V$8)+('BUDGET RESUMO'!W15*'BUDGET RESUMO'!$W$8)+('BUDGET RESUMO'!E15*'BUDGET RESUMO'!$E$8)+('BUDGET RESUMO'!H15*'BUDGET RESUMO'!$H$8)+('BUDGET RESUMO'!N15*'BUDGET RESUMO'!$N$8)+('BUDGET RESUMO'!Y15*'BUDGET RESUMO'!$Y$8)+('BUDGET RESUMO'!X15*'BUDGET RESUMO'!$X$8)+('BUDGET RESUMO'!L15*'BUDGET RESUMO'!$L$8)+('BUDGET RESUMO'!I15*'BUDGET RESUMO'!$I$8)</f>
        <v>0</v>
      </c>
      <c r="H21" s="593">
        <f>0.2*E21</f>
        <v>0</v>
      </c>
    </row>
    <row r="22" spans="2:21" ht="46" customHeight="1" thickBot="1">
      <c r="B22" s="620" t="s">
        <v>118</v>
      </c>
      <c r="C22" s="621"/>
      <c r="D22" s="621"/>
      <c r="E22" s="622"/>
      <c r="H22" s="581"/>
    </row>
    <row r="23" spans="2:21" ht="42" customHeight="1" thickBot="1">
      <c r="B23" s="623"/>
      <c r="C23" s="624"/>
      <c r="D23" s="624"/>
      <c r="E23" s="625">
        <f>('BUDGET RESUMO'!C16*'BUDGET RESUMO'!$C$8)+('BUDGET RESUMO'!D16*'BUDGET RESUMO'!$D$8)+('BUDGET RESUMO'!F16*'BUDGET RESUMO'!$F$8)+('BUDGET RESUMO'!G16*'BUDGET RESUMO'!$G$8)+('BUDGET RESUMO'!J16*'BUDGET RESUMO'!$J$8)+('BUDGET RESUMO'!K16*'BUDGET RESUMO'!$K$8)+('BUDGET RESUMO'!M16*'BUDGET RESUMO'!$M$8)+('BUDGET RESUMO'!O16*'BUDGET RESUMO'!$O$8)+('BUDGET RESUMO'!P16*'BUDGET RESUMO'!$P$8)+('BUDGET RESUMO'!Q16*'BUDGET RESUMO'!$Q$8)+('BUDGET RESUMO'!R16*'BUDGET RESUMO'!$R$8)+('BUDGET RESUMO'!S16*'BUDGET RESUMO'!$S$8)+('BUDGET RESUMO'!T16*'BUDGET RESUMO'!$T$8)+('BUDGET RESUMO'!U16*'BUDGET RESUMO'!$U$8)+('BUDGET RESUMO'!V16*'BUDGET RESUMO'!$V$8)+('BUDGET RESUMO'!W16*'BUDGET RESUMO'!$W$8)+('BUDGET RESUMO'!E16*'BUDGET RESUMO'!$E$8)+('BUDGET RESUMO'!H16*'BUDGET RESUMO'!$H$8)+('BUDGET RESUMO'!N16*'BUDGET RESUMO'!$N$8)+('BUDGET RESUMO'!Y16*'BUDGET RESUMO'!$Y$8)+('BUDGET RESUMO'!X16*'BUDGET RESUMO'!$X$8)+('BUDGET RESUMO'!L16*'BUDGET RESUMO'!$L$8)+('BUDGET RESUMO'!I16*'BUDGET RESUMO'!$I$8)</f>
        <v>0</v>
      </c>
      <c r="H23" s="593">
        <f>0.2*E23</f>
        <v>0</v>
      </c>
      <c r="I23" s="626"/>
      <c r="O23" s="592"/>
    </row>
    <row r="24" spans="2:21" ht="46" customHeight="1" thickBot="1">
      <c r="B24" s="627" t="s">
        <v>22</v>
      </c>
      <c r="C24" s="628"/>
      <c r="D24" s="628"/>
      <c r="E24" s="629"/>
      <c r="H24" s="581"/>
    </row>
    <row r="25" spans="2:21" ht="42" customHeight="1" thickBot="1">
      <c r="B25" s="630"/>
      <c r="C25" s="631"/>
      <c r="D25" s="631"/>
      <c r="E25" s="632">
        <f>('BUDGET RESUMO'!C17*'BUDGET RESUMO'!$C$8)+('BUDGET RESUMO'!D17*'BUDGET RESUMO'!$D$8)+('BUDGET RESUMO'!F17*'BUDGET RESUMO'!$F$8)+('BUDGET RESUMO'!G17*'BUDGET RESUMO'!$G$8)+('BUDGET RESUMO'!J17*'BUDGET RESUMO'!$J$8)+('BUDGET RESUMO'!K17*'BUDGET RESUMO'!$K$8)+('BUDGET RESUMO'!M17*'BUDGET RESUMO'!$M$8)+('BUDGET RESUMO'!O17*'BUDGET RESUMO'!$O$8)+('BUDGET RESUMO'!P17*'BUDGET RESUMO'!$P$8)+('BUDGET RESUMO'!Q17*'BUDGET RESUMO'!$Q$8)+('BUDGET RESUMO'!R17*'BUDGET RESUMO'!$R$8)+('BUDGET RESUMO'!S17*'BUDGET RESUMO'!$S$8)+('BUDGET RESUMO'!T17*'BUDGET RESUMO'!$T$8)+('BUDGET RESUMO'!U17*'BUDGET RESUMO'!$U$8)+('BUDGET RESUMO'!V17*'BUDGET RESUMO'!$V$8)+('BUDGET RESUMO'!W17*'BUDGET RESUMO'!$W$8)+('BUDGET RESUMO'!E17*'BUDGET RESUMO'!$E$8)+('BUDGET RESUMO'!H17*'BUDGET RESUMO'!$H$8)+('BUDGET RESUMO'!N17*'BUDGET RESUMO'!$N$8)+('BUDGET RESUMO'!Y17*'BUDGET RESUMO'!$Y$8)+('BUDGET RESUMO'!X17*'BUDGET RESUMO'!$X$8)+('BUDGET RESUMO'!L17*'BUDGET RESUMO'!$L$8)+('BUDGET RESUMO'!I17*'BUDGET RESUMO'!$I$8)</f>
        <v>0</v>
      </c>
    </row>
    <row r="26" spans="2:21" ht="15" hidden="1" customHeight="1" thickBot="1">
      <c r="B26" s="574"/>
      <c r="C26" s="575"/>
      <c r="D26" s="575"/>
      <c r="E26">
        <f>SUM(E25+E23+E21+E19+E17+E15+E13+E11)</f>
        <v>0</v>
      </c>
    </row>
    <row r="27" spans="2:21" ht="42" customHeight="1" thickBot="1">
      <c r="B27" s="727" t="s">
        <v>119</v>
      </c>
      <c r="C27" s="728"/>
      <c r="D27" s="729"/>
      <c r="E27" s="633">
        <f>E26-(E26*0.05)</f>
        <v>0</v>
      </c>
    </row>
    <row r="28" spans="2:21" ht="42" customHeight="1" thickBot="1">
      <c r="B28" s="722" t="s">
        <v>120</v>
      </c>
      <c r="C28" s="673"/>
      <c r="D28" s="723" t="s">
        <v>121</v>
      </c>
      <c r="E28" s="633">
        <f>E27*(1+'BUDGET RESUMO'!$C$23)</f>
        <v>0</v>
      </c>
    </row>
    <row r="29" spans="2:21" ht="13" customHeight="1" thickBot="1"/>
    <row r="30" spans="2:21" ht="42" customHeight="1" thickBot="1">
      <c r="B30" s="730" t="s">
        <v>196</v>
      </c>
      <c r="C30" s="731"/>
      <c r="D30" s="731"/>
      <c r="E30" s="732"/>
    </row>
    <row r="31" spans="2:21" ht="42" customHeight="1" thickBot="1">
      <c r="B31" s="726" t="s">
        <v>122</v>
      </c>
      <c r="C31" s="673"/>
      <c r="D31" s="723" t="s">
        <v>123</v>
      </c>
      <c r="E31" s="591">
        <f>E28*(1+'BUDGET RESUMO'!$C$24)</f>
        <v>0</v>
      </c>
      <c r="F31" s="634">
        <f>('BUDGET RESUMO'!D21*(1+'BUDGET RESUMO'!$C$23))*(1+'BUDGET RESUMO'!$C$24)</f>
        <v>0</v>
      </c>
      <c r="G31" s="634">
        <f>('BUDGET RESUMO'!F21*(1+'BUDGET RESUMO'!$C$23))*(1+'BUDGET RESUMO'!$C$24)</f>
        <v>0</v>
      </c>
      <c r="H31" s="634">
        <f>('BUDGET RESUMO'!G21*(1+'BUDGET RESUMO'!$C$23))*(1+'BUDGET RESUMO'!$C$24)</f>
        <v>0</v>
      </c>
      <c r="I31" s="634">
        <f>('BUDGET RESUMO'!I21*(1+'BUDGET RESUMO'!$C$23))*(1+'BUDGET RESUMO'!$C$24)</f>
        <v>0</v>
      </c>
      <c r="J31" s="634">
        <f>('BUDGET RESUMO'!J21*(1+'BUDGET RESUMO'!$C$23))*(1+'BUDGET RESUMO'!$C$24)</f>
        <v>0</v>
      </c>
      <c r="K31" s="634">
        <f>('BUDGET RESUMO'!L21*(1+'BUDGET RESUMO'!$C$23))*(1+'BUDGET RESUMO'!$C$24)</f>
        <v>0</v>
      </c>
      <c r="L31" s="634">
        <f>('BUDGET RESUMO'!N21*(1+'BUDGET RESUMO'!$C$23))*(1+'BUDGET RESUMO'!$C$24)</f>
        <v>0</v>
      </c>
      <c r="M31" s="634">
        <f>('BUDGET RESUMO'!O21*(1+'BUDGET RESUMO'!$C$23))*(1+'BUDGET RESUMO'!$C$24)</f>
        <v>0</v>
      </c>
      <c r="N31" s="634">
        <f>('BUDGET RESUMO'!P21*(1+'BUDGET RESUMO'!$C$23))*(1+'BUDGET RESUMO'!$C$24)</f>
        <v>0</v>
      </c>
      <c r="O31" s="634">
        <f>('BUDGET RESUMO'!Q21*(1+'BUDGET RESUMO'!$C$23))*(1+'BUDGET RESUMO'!$C$24)</f>
        <v>0</v>
      </c>
      <c r="P31" s="634">
        <f>('BUDGET RESUMO'!R21*(1+'BUDGET RESUMO'!$C$23))*(1+'BUDGET RESUMO'!$C$24)</f>
        <v>0</v>
      </c>
      <c r="Q31" s="634">
        <f>('BUDGET RESUMO'!S21*(1+'BUDGET RESUMO'!$C$23))*(1+'BUDGET RESUMO'!$C$24)</f>
        <v>0</v>
      </c>
      <c r="R31" s="634">
        <f>('BUDGET RESUMO'!T21*(1+'BUDGET RESUMO'!$C$23))*(1+'BUDGET RESUMO'!$C$24)</f>
        <v>0</v>
      </c>
      <c r="S31" s="634">
        <f>('BUDGET RESUMO'!U21*(1+'BUDGET RESUMO'!$C$23))*(1+'BUDGET RESUMO'!$C$24)</f>
        <v>0</v>
      </c>
      <c r="T31" s="634">
        <f>('BUDGET RESUMO'!V21*(1+'BUDGET RESUMO'!$C$23))*(1+'BUDGET RESUMO'!$C$24)</f>
        <v>0</v>
      </c>
    </row>
    <row r="32" spans="2:21" s="638" customFormat="1" ht="5" customHeight="1" thickBot="1">
      <c r="B32" s="635"/>
      <c r="C32" s="636"/>
      <c r="D32" s="636"/>
      <c r="E32" s="637"/>
      <c r="F32" s="557"/>
      <c r="G32" s="559"/>
      <c r="H32" s="559"/>
      <c r="I32" s="559"/>
      <c r="J32" s="559"/>
      <c r="K32" s="559"/>
      <c r="L32" s="559"/>
      <c r="M32" s="559"/>
      <c r="N32" s="559"/>
      <c r="O32" s="559"/>
      <c r="P32" s="559"/>
      <c r="Q32" s="559"/>
      <c r="R32" s="559"/>
      <c r="S32" s="559"/>
      <c r="T32" s="559"/>
      <c r="U32" s="634"/>
    </row>
    <row r="33" spans="2:21" ht="28" customHeight="1" thickBot="1">
      <c r="B33" s="719" t="s">
        <v>30</v>
      </c>
      <c r="C33" s="720"/>
      <c r="D33" s="721"/>
      <c r="E33" s="639">
        <f>E27*'BUDGET RESUMO'!$C$23</f>
        <v>0</v>
      </c>
      <c r="F33" s="559"/>
    </row>
    <row r="34" spans="2:21" ht="18" customHeight="1" thickBot="1"/>
    <row r="35" spans="2:21" s="640" customFormat="1" ht="37" customHeight="1" thickBot="1">
      <c r="B35" s="724" t="s">
        <v>124</v>
      </c>
      <c r="C35" s="673"/>
      <c r="D35" s="673"/>
      <c r="E35" s="696"/>
      <c r="G35" s="641"/>
      <c r="H35" s="641"/>
      <c r="I35" s="641"/>
      <c r="J35" s="641"/>
      <c r="K35" s="641"/>
      <c r="L35" s="641"/>
      <c r="M35" s="641"/>
      <c r="N35" s="641"/>
      <c r="O35" s="641"/>
      <c r="P35" s="641"/>
      <c r="Q35" s="641"/>
      <c r="R35" s="641"/>
      <c r="S35" s="641"/>
      <c r="T35" s="641"/>
      <c r="U35" s="641"/>
    </row>
    <row r="36" spans="2:21" s="640" customFormat="1" ht="23" customHeight="1">
      <c r="B36" s="642" t="s">
        <v>125</v>
      </c>
      <c r="C36" s="643" t="s">
        <v>126</v>
      </c>
      <c r="D36" s="644" t="s">
        <v>127</v>
      </c>
      <c r="E36" s="645" t="s">
        <v>128</v>
      </c>
      <c r="G36" s="641"/>
      <c r="H36" s="641"/>
      <c r="I36" s="641"/>
      <c r="J36" s="641"/>
      <c r="K36" s="641"/>
      <c r="L36" s="641"/>
      <c r="M36" s="641"/>
      <c r="N36" s="641"/>
      <c r="O36" s="641"/>
      <c r="P36" s="641"/>
      <c r="Q36" s="641"/>
      <c r="R36" s="641"/>
      <c r="S36" s="641"/>
      <c r="T36" s="641"/>
      <c r="U36" s="641"/>
    </row>
    <row r="37" spans="2:21" s="650" customFormat="1" ht="22" customHeight="1">
      <c r="B37" s="646"/>
      <c r="C37" s="647"/>
      <c r="D37" s="648">
        <v>0</v>
      </c>
      <c r="E37" s="649">
        <f>E33-D37</f>
        <v>0</v>
      </c>
      <c r="G37" s="651"/>
      <c r="H37" s="651"/>
      <c r="I37" s="651"/>
      <c r="J37" s="651"/>
      <c r="K37" s="651"/>
      <c r="L37" s="651"/>
      <c r="M37" s="651"/>
      <c r="N37" s="651"/>
      <c r="O37" s="651"/>
      <c r="P37" s="651"/>
      <c r="Q37" s="651"/>
      <c r="R37" s="651"/>
      <c r="S37" s="651"/>
      <c r="T37" s="651"/>
      <c r="U37" s="651"/>
    </row>
    <row r="38" spans="2:21" s="640" customFormat="1" ht="22" customHeight="1">
      <c r="B38" s="646"/>
      <c r="C38" s="647"/>
      <c r="D38" s="648">
        <v>0</v>
      </c>
      <c r="E38" s="652">
        <f>E37-D38</f>
        <v>0</v>
      </c>
      <c r="G38" s="641"/>
      <c r="H38" s="641"/>
      <c r="I38" s="641"/>
      <c r="J38" s="641"/>
      <c r="K38" s="641"/>
      <c r="L38" s="641"/>
      <c r="M38" s="641"/>
      <c r="N38" s="641"/>
      <c r="O38" s="641"/>
      <c r="P38" s="641"/>
      <c r="Q38" s="641"/>
      <c r="R38" s="641"/>
      <c r="S38" s="641"/>
      <c r="T38" s="641"/>
      <c r="U38" s="641"/>
    </row>
    <row r="39" spans="2:21" s="640" customFormat="1" ht="22" customHeight="1">
      <c r="B39" s="646"/>
      <c r="C39" s="647"/>
      <c r="D39" s="648">
        <v>0</v>
      </c>
      <c r="E39" s="652">
        <f>E38-D39</f>
        <v>0</v>
      </c>
      <c r="G39" s="641"/>
      <c r="H39" s="641"/>
      <c r="I39" s="641"/>
      <c r="J39" s="641"/>
      <c r="K39" s="641"/>
      <c r="L39" s="641"/>
      <c r="M39" s="641"/>
      <c r="N39" s="641"/>
      <c r="O39" s="641"/>
      <c r="P39" s="641"/>
      <c r="Q39" s="641"/>
      <c r="R39" s="641"/>
      <c r="S39" s="641"/>
      <c r="T39" s="641"/>
      <c r="U39" s="641"/>
    </row>
    <row r="40" spans="2:21" s="640" customFormat="1" ht="22" customHeight="1" thickBot="1">
      <c r="B40" s="653"/>
      <c r="C40" s="654"/>
      <c r="D40" s="655">
        <v>0</v>
      </c>
      <c r="E40" s="656">
        <f>E39-D40</f>
        <v>0</v>
      </c>
      <c r="G40" s="641"/>
      <c r="H40" s="641"/>
      <c r="I40" s="641"/>
      <c r="J40" s="641"/>
      <c r="K40" s="641"/>
      <c r="L40" s="641"/>
      <c r="M40" s="641"/>
      <c r="N40" s="641"/>
      <c r="O40" s="641"/>
      <c r="P40" s="641"/>
      <c r="Q40" s="641"/>
      <c r="R40" s="641"/>
      <c r="S40" s="641"/>
      <c r="T40" s="641"/>
      <c r="U40" s="641"/>
    </row>
    <row r="47" spans="2:21">
      <c r="D47" s="657"/>
    </row>
  </sheetData>
  <sheetProtection sheet="1" objects="1" scenarios="1"/>
  <mergeCells count="13">
    <mergeCell ref="C5:D5"/>
    <mergeCell ref="F8:G8"/>
    <mergeCell ref="C3:D3"/>
    <mergeCell ref="C12:E12"/>
    <mergeCell ref="C4:D4"/>
    <mergeCell ref="B33:D33"/>
    <mergeCell ref="B28:D28"/>
    <mergeCell ref="B8:E8"/>
    <mergeCell ref="C6:D6"/>
    <mergeCell ref="B35:E35"/>
    <mergeCell ref="B31:D31"/>
    <mergeCell ref="B27:D27"/>
    <mergeCell ref="B30:E30"/>
  </mergeCells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101"/>
  <sheetViews>
    <sheetView topLeftCell="A2" zoomScale="120" zoomScaleNormal="120" workbookViewId="0">
      <selection activeCell="E14" sqref="E14"/>
    </sheetView>
  </sheetViews>
  <sheetFormatPr baseColWidth="10" defaultColWidth="11" defaultRowHeight="17"/>
  <cols>
    <col min="1" max="1" width="48.796875" style="7" customWidth="1"/>
    <col min="2" max="2" width="23.796875" style="52" customWidth="1"/>
    <col min="3" max="3" width="24" style="7" customWidth="1"/>
    <col min="4" max="4" width="22.796875" style="12" customWidth="1"/>
    <col min="5" max="5" width="22.19921875" style="11" customWidth="1"/>
    <col min="6" max="6" width="29.19921875" style="7" customWidth="1"/>
    <col min="7" max="7" width="27.796875" style="6" customWidth="1"/>
    <col min="8" max="8" width="32.3984375" style="7" customWidth="1"/>
    <col min="9" max="9" width="23.59765625" style="7" customWidth="1"/>
    <col min="10" max="10" width="25.19921875" style="7" customWidth="1"/>
    <col min="11" max="11" width="28.796875" style="7" customWidth="1"/>
    <col min="12" max="12" width="36.19921875" style="7" customWidth="1"/>
    <col min="13" max="28" width="11" style="7" customWidth="1"/>
    <col min="29" max="16384" width="11" style="7"/>
  </cols>
  <sheetData>
    <row r="1" spans="1:16" ht="22" hidden="1" customHeight="1" thickBot="1"/>
    <row r="2" spans="1:16" ht="7" customHeight="1">
      <c r="D2" s="13"/>
    </row>
    <row r="3" spans="1:16" s="10" customFormat="1" ht="1" customHeight="1">
      <c r="A3" s="14"/>
      <c r="B3" s="53"/>
      <c r="C3" s="15" t="s">
        <v>11</v>
      </c>
      <c r="D3" s="15"/>
      <c r="E3" s="15"/>
      <c r="G3" s="9"/>
    </row>
    <row r="4" spans="1:16" s="10" customFormat="1" ht="19" customHeight="1">
      <c r="A4" s="14"/>
      <c r="B4" s="53"/>
      <c r="C4" s="15"/>
      <c r="D4" s="15"/>
      <c r="E4" s="15"/>
      <c r="G4" s="9"/>
    </row>
    <row r="5" spans="1:16" s="10" customFormat="1" ht="48" customHeight="1">
      <c r="A5" s="54" t="s">
        <v>129</v>
      </c>
      <c r="B5" s="674">
        <v>1</v>
      </c>
      <c r="C5" s="675"/>
      <c r="D5" s="277"/>
      <c r="E5" s="277" t="s">
        <v>11</v>
      </c>
      <c r="F5" s="278"/>
      <c r="G5" s="9"/>
    </row>
    <row r="6" spans="1:16" s="8" customFormat="1" ht="37" customHeight="1">
      <c r="A6" s="54" t="s">
        <v>130</v>
      </c>
      <c r="B6" s="683">
        <v>0</v>
      </c>
      <c r="C6" s="684"/>
      <c r="D6" s="682" t="s">
        <v>131</v>
      </c>
      <c r="E6" s="661"/>
      <c r="F6" s="106">
        <f>D21</f>
        <v>0</v>
      </c>
    </row>
    <row r="7" spans="1:16" s="8" customFormat="1" ht="33" customHeight="1">
      <c r="A7" s="55" t="s">
        <v>132</v>
      </c>
      <c r="B7" s="662">
        <f>CALENDAR!C2</f>
        <v>0</v>
      </c>
      <c r="C7" s="661"/>
      <c r="D7" s="660" t="s">
        <v>133</v>
      </c>
      <c r="E7" s="661"/>
      <c r="F7" s="107">
        <f>SUM(F12:F20)</f>
        <v>0</v>
      </c>
    </row>
    <row r="8" spans="1:16" s="8" customFormat="1" ht="31" customHeight="1">
      <c r="A8" s="54" t="s">
        <v>134</v>
      </c>
      <c r="B8" s="680">
        <f>CALENDAR!C3</f>
        <v>0</v>
      </c>
      <c r="C8" s="661"/>
      <c r="D8" s="681" t="s">
        <v>135</v>
      </c>
      <c r="E8" s="661"/>
      <c r="F8" s="108">
        <f>F6-F7</f>
        <v>0</v>
      </c>
      <c r="G8" s="32"/>
    </row>
    <row r="9" spans="1:16" s="8" customFormat="1" ht="32" customHeight="1">
      <c r="A9" s="55" t="s">
        <v>136</v>
      </c>
      <c r="B9" s="678">
        <f>CALENDAR!J2</f>
        <v>0</v>
      </c>
      <c r="C9" s="661"/>
      <c r="D9" s="679" t="s">
        <v>137</v>
      </c>
      <c r="E9" s="661"/>
      <c r="F9" s="1"/>
      <c r="G9" s="32"/>
    </row>
    <row r="10" spans="1:16" s="8" customFormat="1" ht="30" customHeight="1" thickBot="1">
      <c r="A10" s="16"/>
      <c r="B10" s="56"/>
      <c r="C10" s="6"/>
      <c r="D10" s="7"/>
      <c r="E10" s="7"/>
      <c r="F10" s="7"/>
      <c r="G10" s="17"/>
      <c r="H10" s="7"/>
      <c r="I10" s="7"/>
      <c r="J10" s="7"/>
      <c r="K10" s="7"/>
      <c r="L10" s="7"/>
      <c r="M10" s="7"/>
      <c r="N10" s="7"/>
      <c r="O10" s="7"/>
      <c r="P10" s="7"/>
    </row>
    <row r="11" spans="1:16" s="6" customFormat="1" ht="44" customHeight="1" thickBot="1">
      <c r="A11" s="671" t="s">
        <v>138</v>
      </c>
      <c r="B11" s="677" t="s">
        <v>139</v>
      </c>
      <c r="C11" s="57" t="s">
        <v>140</v>
      </c>
      <c r="D11" s="677" t="s">
        <v>141</v>
      </c>
      <c r="E11" s="7"/>
      <c r="F11" s="663" t="str">
        <f>E5</f>
        <v>COIGUE</v>
      </c>
      <c r="G11" s="664"/>
      <c r="H11" s="7"/>
      <c r="I11" s="658" t="s">
        <v>142</v>
      </c>
      <c r="J11" s="659"/>
      <c r="K11" s="659"/>
      <c r="L11" s="7"/>
      <c r="M11" s="7"/>
      <c r="N11" s="7"/>
      <c r="O11" s="7"/>
      <c r="P11" s="7"/>
    </row>
    <row r="12" spans="1:16" s="6" customFormat="1" ht="32" customHeight="1">
      <c r="A12" s="659"/>
      <c r="B12" s="659"/>
      <c r="C12" s="58">
        <v>0.05</v>
      </c>
      <c r="D12" s="659"/>
      <c r="E12" s="7"/>
      <c r="F12" s="665"/>
      <c r="G12" s="666"/>
      <c r="H12" s="7"/>
      <c r="I12" s="59" t="s">
        <v>126</v>
      </c>
      <c r="J12" s="60" t="s">
        <v>143</v>
      </c>
      <c r="K12" s="60" t="s">
        <v>144</v>
      </c>
      <c r="L12" s="7"/>
      <c r="M12" s="7"/>
      <c r="N12" s="7"/>
      <c r="O12" s="7"/>
      <c r="P12" s="7"/>
    </row>
    <row r="13" spans="1:16" ht="22" customHeight="1" thickBot="1">
      <c r="A13" s="61" t="s">
        <v>15</v>
      </c>
      <c r="B13" s="109">
        <f>G28</f>
        <v>0</v>
      </c>
      <c r="C13" s="109">
        <f t="shared" ref="C13:C20" si="0">B13*$C$12</f>
        <v>0</v>
      </c>
      <c r="D13" s="109">
        <f t="shared" ref="D13:D20" si="1">B13+(B13*$C$12)</f>
        <v>0</v>
      </c>
      <c r="E13" s="7"/>
      <c r="F13" s="667"/>
      <c r="G13" s="668"/>
      <c r="I13" s="3"/>
      <c r="J13" s="4"/>
      <c r="K13" s="5"/>
    </row>
    <row r="14" spans="1:16" s="6" customFormat="1" ht="20" customHeight="1">
      <c r="A14" s="62" t="s">
        <v>16</v>
      </c>
      <c r="B14" s="110">
        <f>J49</f>
        <v>0</v>
      </c>
      <c r="C14" s="110">
        <f t="shared" si="0"/>
        <v>0</v>
      </c>
      <c r="D14" s="110">
        <f t="shared" si="1"/>
        <v>0</v>
      </c>
      <c r="E14" s="7"/>
      <c r="F14" s="265" t="str">
        <f t="shared" ref="F14:F19" si="2">A14</f>
        <v>2.FOOD</v>
      </c>
      <c r="G14" s="261">
        <f>G49</f>
        <v>0</v>
      </c>
      <c r="H14" s="7"/>
      <c r="I14" s="3"/>
      <c r="J14" s="4"/>
      <c r="K14" s="5"/>
      <c r="L14" s="7"/>
      <c r="M14" s="7"/>
      <c r="N14" s="7"/>
      <c r="O14" s="7"/>
      <c r="P14" s="7"/>
    </row>
    <row r="15" spans="1:16" s="6" customFormat="1" ht="20" customHeight="1">
      <c r="A15" s="63" t="s">
        <v>17</v>
      </c>
      <c r="B15" s="111">
        <f>E59</f>
        <v>0</v>
      </c>
      <c r="C15" s="111">
        <f t="shared" si="0"/>
        <v>0</v>
      </c>
      <c r="D15" s="111">
        <f t="shared" si="1"/>
        <v>0</v>
      </c>
      <c r="E15" s="7"/>
      <c r="F15" s="266" t="str">
        <f t="shared" si="2"/>
        <v>3.DRINKS</v>
      </c>
      <c r="G15" s="262">
        <f>G59</f>
        <v>0</v>
      </c>
      <c r="H15" s="7"/>
      <c r="I15" s="3"/>
      <c r="J15" s="4"/>
      <c r="K15" s="5"/>
      <c r="L15" s="7"/>
      <c r="M15" s="7"/>
      <c r="N15" s="7"/>
      <c r="O15" s="7"/>
      <c r="P15" s="7"/>
    </row>
    <row r="16" spans="1:16" s="6" customFormat="1" ht="20" customHeight="1">
      <c r="A16" s="55" t="s">
        <v>18</v>
      </c>
      <c r="B16" s="112">
        <f>$E$72</f>
        <v>0</v>
      </c>
      <c r="C16" s="112">
        <f t="shared" si="0"/>
        <v>0</v>
      </c>
      <c r="D16" s="112">
        <f t="shared" si="1"/>
        <v>0</v>
      </c>
      <c r="E16" s="7"/>
      <c r="F16" s="267" t="str">
        <f t="shared" si="2"/>
        <v>4. ACTIVITIES</v>
      </c>
      <c r="G16" s="263">
        <f>G72</f>
        <v>0</v>
      </c>
      <c r="H16" s="7"/>
      <c r="I16" s="3"/>
      <c r="J16" s="4"/>
      <c r="K16" s="5"/>
      <c r="L16" s="7"/>
      <c r="M16" s="7"/>
      <c r="N16" s="7"/>
      <c r="O16" s="7"/>
      <c r="P16" s="7"/>
    </row>
    <row r="17" spans="1:16" s="6" customFormat="1" ht="20" customHeight="1">
      <c r="A17" s="63" t="s">
        <v>19</v>
      </c>
      <c r="B17" s="111">
        <f>$E$80</f>
        <v>0</v>
      </c>
      <c r="C17" s="111">
        <f t="shared" si="0"/>
        <v>0</v>
      </c>
      <c r="D17" s="111">
        <f t="shared" si="1"/>
        <v>0</v>
      </c>
      <c r="E17" s="7"/>
      <c r="F17" s="268" t="str">
        <f t="shared" si="2"/>
        <v>5.TRANSPORT</v>
      </c>
      <c r="G17" s="174">
        <f>G80</f>
        <v>0</v>
      </c>
      <c r="H17" s="7"/>
      <c r="I17" s="3"/>
      <c r="J17" s="4"/>
      <c r="K17" s="5"/>
      <c r="L17" s="7"/>
      <c r="M17" s="7"/>
      <c r="N17" s="7"/>
      <c r="O17" s="7"/>
      <c r="P17" s="7"/>
    </row>
    <row r="18" spans="1:16" s="6" customFormat="1" ht="20" customHeight="1">
      <c r="A18" s="64" t="s">
        <v>20</v>
      </c>
      <c r="B18" s="113">
        <f>$E$86</f>
        <v>0</v>
      </c>
      <c r="C18" s="113">
        <f t="shared" si="0"/>
        <v>0</v>
      </c>
      <c r="D18" s="113">
        <f t="shared" si="1"/>
        <v>0</v>
      </c>
      <c r="E18" s="10"/>
      <c r="F18" s="269" t="str">
        <f t="shared" si="2"/>
        <v>6.EXPERIENCES</v>
      </c>
      <c r="G18" s="264">
        <f>G86</f>
        <v>0</v>
      </c>
      <c r="H18" s="7"/>
      <c r="I18" s="3"/>
      <c r="J18" s="4"/>
      <c r="K18" s="5"/>
      <c r="L18" s="7"/>
      <c r="M18" s="7"/>
      <c r="N18" s="7"/>
      <c r="O18" s="7"/>
      <c r="P18" s="7"/>
    </row>
    <row r="19" spans="1:16" s="6" customFormat="1" ht="20" customHeight="1">
      <c r="A19" s="65" t="s">
        <v>21</v>
      </c>
      <c r="B19" s="114">
        <f>$E$95</f>
        <v>0</v>
      </c>
      <c r="C19" s="114">
        <f t="shared" si="0"/>
        <v>0</v>
      </c>
      <c r="D19" s="114">
        <f t="shared" si="1"/>
        <v>0</v>
      </c>
      <c r="E19" s="7"/>
      <c r="F19" s="270" t="str">
        <f t="shared" si="2"/>
        <v>7.EXTRAS</v>
      </c>
      <c r="G19" s="151">
        <f>G95</f>
        <v>0</v>
      </c>
      <c r="H19" s="7"/>
      <c r="I19" s="3"/>
      <c r="J19" s="4"/>
      <c r="K19" s="5"/>
      <c r="L19" s="7"/>
      <c r="M19" s="7"/>
      <c r="N19" s="7"/>
      <c r="O19" s="7"/>
      <c r="P19" s="7"/>
    </row>
    <row r="20" spans="1:16" s="6" customFormat="1" ht="20" customHeight="1" thickBot="1">
      <c r="A20" s="66" t="s">
        <v>22</v>
      </c>
      <c r="B20" s="115">
        <f>$E$99</f>
        <v>0</v>
      </c>
      <c r="C20" s="115">
        <f t="shared" si="0"/>
        <v>0</v>
      </c>
      <c r="D20" s="115">
        <f t="shared" si="1"/>
        <v>0</v>
      </c>
      <c r="E20" s="7"/>
      <c r="F20" s="676" t="s">
        <v>145</v>
      </c>
      <c r="G20" s="669">
        <f>G14+G15+G16+G17+G18+G19</f>
        <v>0</v>
      </c>
      <c r="H20" s="7"/>
      <c r="I20" s="3"/>
      <c r="J20" s="4"/>
      <c r="K20" s="5"/>
      <c r="L20" s="7"/>
      <c r="M20" s="7"/>
      <c r="N20" s="7"/>
      <c r="O20" s="7"/>
      <c r="P20" s="7"/>
    </row>
    <row r="21" spans="1:16" ht="35" customHeight="1" thickBot="1">
      <c r="A21" s="67" t="s">
        <v>146</v>
      </c>
      <c r="B21" s="116">
        <f>SUM(B13:B20)</f>
        <v>0</v>
      </c>
      <c r="C21" s="116"/>
      <c r="D21" s="116">
        <f>SUM(D13:D20)</f>
        <v>0</v>
      </c>
      <c r="E21" s="51"/>
      <c r="F21" s="670"/>
      <c r="G21" s="670"/>
    </row>
    <row r="22" spans="1:16" s="8" customFormat="1" ht="11" customHeight="1" thickBot="1">
      <c r="A22" s="16"/>
      <c r="B22" s="56"/>
      <c r="C22" s="6"/>
      <c r="D22" s="7"/>
      <c r="E22" s="7"/>
      <c r="F22" s="7"/>
      <c r="G22" s="17"/>
      <c r="H22" s="7"/>
      <c r="I22" s="7"/>
      <c r="J22" s="7"/>
      <c r="K22" s="7"/>
      <c r="L22" s="7"/>
      <c r="M22" s="7"/>
      <c r="N22" s="7"/>
      <c r="O22" s="7"/>
      <c r="P22" s="7"/>
    </row>
    <row r="23" spans="1:16" ht="44" customHeight="1" thickBot="1">
      <c r="A23" s="68" t="s">
        <v>114</v>
      </c>
      <c r="B23" s="69" t="s">
        <v>52</v>
      </c>
      <c r="C23" s="69" t="s">
        <v>147</v>
      </c>
      <c r="D23" s="69" t="s">
        <v>148</v>
      </c>
      <c r="E23" s="70" t="s">
        <v>149</v>
      </c>
      <c r="F23" s="70" t="s">
        <v>150</v>
      </c>
      <c r="G23" s="70" t="s">
        <v>151</v>
      </c>
    </row>
    <row r="24" spans="1:16" ht="20" customHeight="1">
      <c r="A24" s="71" t="s">
        <v>152</v>
      </c>
      <c r="B24" s="93">
        <v>1</v>
      </c>
      <c r="C24" s="117">
        <f>249200</f>
        <v>249200</v>
      </c>
      <c r="D24" s="118"/>
      <c r="E24" s="119">
        <f>(C24+D24)*$B$9*B24</f>
        <v>0</v>
      </c>
      <c r="F24" s="2">
        <v>0</v>
      </c>
      <c r="G24" s="119">
        <f>E24-(E24*F24)</f>
        <v>0</v>
      </c>
    </row>
    <row r="25" spans="1:16" ht="20" customHeight="1">
      <c r="A25" s="71" t="s">
        <v>153</v>
      </c>
      <c r="B25" s="93">
        <v>0</v>
      </c>
      <c r="C25" s="117">
        <f>249200</f>
        <v>249200</v>
      </c>
      <c r="D25" s="118">
        <v>50000</v>
      </c>
      <c r="E25" s="119">
        <f>(C25+D25)*$B$9*B25</f>
        <v>0</v>
      </c>
      <c r="F25" s="2">
        <v>0</v>
      </c>
      <c r="G25" s="119">
        <f>E25-(E25*F25)</f>
        <v>0</v>
      </c>
    </row>
    <row r="26" spans="1:16" ht="20" customHeight="1">
      <c r="A26" s="71" t="s">
        <v>154</v>
      </c>
      <c r="B26" s="93">
        <v>0</v>
      </c>
      <c r="C26" s="117">
        <f>224280</f>
        <v>224280</v>
      </c>
      <c r="D26" s="118"/>
      <c r="E26" s="119">
        <f>(C26+D26)*$B$9*B26</f>
        <v>0</v>
      </c>
      <c r="F26" s="2">
        <v>0</v>
      </c>
      <c r="G26" s="119">
        <f>E26-(E26*F26)</f>
        <v>0</v>
      </c>
    </row>
    <row r="27" spans="1:16" ht="20" customHeight="1" thickBot="1">
      <c r="A27" s="71" t="s">
        <v>155</v>
      </c>
      <c r="B27" s="93">
        <v>0</v>
      </c>
      <c r="C27" s="117">
        <f>224280</f>
        <v>224280</v>
      </c>
      <c r="D27" s="118">
        <v>50000</v>
      </c>
      <c r="E27" s="119">
        <f>(C27+D27)*$B$9*B27</f>
        <v>0</v>
      </c>
      <c r="F27" s="2">
        <v>0</v>
      </c>
      <c r="G27" s="119">
        <f>E27-(E27*F27)</f>
        <v>0</v>
      </c>
    </row>
    <row r="28" spans="1:16" ht="29" customHeight="1" thickBot="1">
      <c r="A28" s="672" t="s">
        <v>156</v>
      </c>
      <c r="B28" s="673"/>
      <c r="C28" s="673"/>
      <c r="D28" s="673"/>
      <c r="E28" s="72"/>
      <c r="F28" s="73"/>
      <c r="G28" s="120">
        <f>SUM(G24:G27)</f>
        <v>0</v>
      </c>
    </row>
    <row r="29" spans="1:16" s="8" customFormat="1" ht="11" customHeight="1" thickBot="1">
      <c r="A29" s="16"/>
      <c r="B29" s="56"/>
      <c r="C29" s="6"/>
      <c r="D29" s="7"/>
      <c r="E29" s="7"/>
      <c r="F29" s="7"/>
      <c r="G29" s="17"/>
      <c r="H29" s="7"/>
      <c r="I29" s="286"/>
      <c r="J29" s="7"/>
      <c r="K29" s="7"/>
      <c r="L29" s="7"/>
      <c r="M29" s="7"/>
      <c r="N29" s="7"/>
      <c r="O29" s="7"/>
      <c r="P29" s="7"/>
    </row>
    <row r="30" spans="1:16" s="10" customFormat="1" ht="40" customHeight="1" thickBot="1">
      <c r="A30" s="18" t="s">
        <v>51</v>
      </c>
      <c r="B30" s="159" t="s">
        <v>52</v>
      </c>
      <c r="C30" s="160" t="s">
        <v>53</v>
      </c>
      <c r="D30" s="153" t="s">
        <v>54</v>
      </c>
      <c r="E30" s="149" t="s">
        <v>157</v>
      </c>
      <c r="F30" s="103" t="s">
        <v>158</v>
      </c>
      <c r="G30" s="147" t="s">
        <v>159</v>
      </c>
      <c r="I30" s="286"/>
    </row>
    <row r="31" spans="1:16" ht="20" customHeight="1" thickBot="1">
      <c r="A31" s="154" t="str">
        <f>'BASE PAX'!A6</f>
        <v>BREAKFAST</v>
      </c>
      <c r="B31" s="285">
        <f>(B5*B9*'BASE PAX'!G6)+('BASE PAX'!H6*B6*B9)</f>
        <v>0</v>
      </c>
      <c r="C31" s="121"/>
      <c r="D31" s="144"/>
      <c r="E31" s="283">
        <v>0</v>
      </c>
      <c r="F31" s="122">
        <f t="shared" ref="F31:F46" si="3">B31*C31</f>
        <v>0</v>
      </c>
      <c r="G31" s="325">
        <f>0.2*B31</f>
        <v>0</v>
      </c>
      <c r="H31" s="351" t="str">
        <f>A31</f>
        <v>BREAKFAST</v>
      </c>
      <c r="I31" s="352">
        <f>B31</f>
        <v>0</v>
      </c>
    </row>
    <row r="32" spans="1:16" ht="20" customHeight="1">
      <c r="A32" s="155" t="str">
        <f>'BASE PAX'!A7</f>
        <v>LUNCH 1</v>
      </c>
      <c r="B32" s="74">
        <f>($B$5+$B$6)*'BASE PAX'!B7</f>
        <v>0</v>
      </c>
      <c r="C32" s="123">
        <f>'BASE PAX'!C7</f>
        <v>40000</v>
      </c>
      <c r="D32" s="125">
        <f>'BASE PAX'!D7</f>
        <v>48000</v>
      </c>
      <c r="E32" s="151">
        <f t="shared" ref="E32:E46" si="4">D32*B32</f>
        <v>0</v>
      </c>
      <c r="F32" s="124">
        <f t="shared" si="3"/>
        <v>0</v>
      </c>
      <c r="G32" s="146">
        <f t="shared" ref="G32:G46" si="5">E32-F32</f>
        <v>0</v>
      </c>
      <c r="I32" s="288"/>
    </row>
    <row r="33" spans="1:11" ht="20" customHeight="1">
      <c r="A33" s="155" t="str">
        <f>'BASE PAX'!A8</f>
        <v>LUNCH 2</v>
      </c>
      <c r="B33" s="74">
        <f>($B$5+$B$6)*'BASE PAX'!B8</f>
        <v>0</v>
      </c>
      <c r="C33" s="123">
        <f>'BASE PAX'!C8</f>
        <v>40000</v>
      </c>
      <c r="D33" s="125">
        <f>'BASE PAX'!D8</f>
        <v>48000</v>
      </c>
      <c r="E33" s="151">
        <f t="shared" si="4"/>
        <v>0</v>
      </c>
      <c r="F33" s="124">
        <f t="shared" si="3"/>
        <v>0</v>
      </c>
      <c r="G33" s="146">
        <f t="shared" si="5"/>
        <v>0</v>
      </c>
      <c r="I33" s="288"/>
    </row>
    <row r="34" spans="1:11" ht="20" customHeight="1">
      <c r="A34" s="155" t="str">
        <f>'BASE PAX'!A9</f>
        <v>LUNCH 3</v>
      </c>
      <c r="B34" s="74">
        <f>($B$5+$B$6)*'BASE PAX'!B9</f>
        <v>0</v>
      </c>
      <c r="C34" s="123">
        <f>'BASE PAX'!C9</f>
        <v>40000</v>
      </c>
      <c r="D34" s="125">
        <f>'BASE PAX'!D9</f>
        <v>48000</v>
      </c>
      <c r="E34" s="151">
        <f t="shared" si="4"/>
        <v>0</v>
      </c>
      <c r="F34" s="124">
        <f t="shared" si="3"/>
        <v>0</v>
      </c>
      <c r="G34" s="146">
        <f t="shared" si="5"/>
        <v>0</v>
      </c>
      <c r="I34" s="288"/>
    </row>
    <row r="35" spans="1:11" ht="20" customHeight="1">
      <c r="A35" s="155" t="str">
        <f>'BASE PAX'!A10</f>
        <v>LUNCH 4</v>
      </c>
      <c r="B35" s="74">
        <f>($B$5+$B$6)*'BASE PAX'!B10</f>
        <v>0</v>
      </c>
      <c r="C35" s="123">
        <f>'BASE PAX'!C10</f>
        <v>45000</v>
      </c>
      <c r="D35" s="125">
        <f>'BASE PAX'!D10</f>
        <v>54000</v>
      </c>
      <c r="E35" s="151">
        <f t="shared" si="4"/>
        <v>0</v>
      </c>
      <c r="F35" s="124">
        <f t="shared" si="3"/>
        <v>0</v>
      </c>
      <c r="G35" s="146">
        <f t="shared" si="5"/>
        <v>0</v>
      </c>
      <c r="I35" s="288"/>
    </row>
    <row r="36" spans="1:11" ht="20" customHeight="1">
      <c r="A36" s="155" t="str">
        <f>'BASE PAX'!A11</f>
        <v>LUNCH 5</v>
      </c>
      <c r="B36" s="74">
        <f>($B$5+$B$6)*'BASE PAX'!B11</f>
        <v>0</v>
      </c>
      <c r="C36" s="123">
        <f>'BASE PAX'!C11</f>
        <v>50000</v>
      </c>
      <c r="D36" s="125">
        <f>'BASE PAX'!D11</f>
        <v>60000</v>
      </c>
      <c r="E36" s="151">
        <f t="shared" si="4"/>
        <v>0</v>
      </c>
      <c r="F36" s="124">
        <f t="shared" si="3"/>
        <v>0</v>
      </c>
      <c r="G36" s="146">
        <f t="shared" si="5"/>
        <v>0</v>
      </c>
      <c r="I36" s="288"/>
    </row>
    <row r="37" spans="1:11" ht="20" customHeight="1">
      <c r="A37" s="155" t="str">
        <f>'BASE PAX'!A12</f>
        <v>LUNCH 6</v>
      </c>
      <c r="B37" s="74">
        <f>($B$5+$B$6)*'BASE PAX'!B12</f>
        <v>0</v>
      </c>
      <c r="C37" s="123">
        <f>'BASE PAX'!C12</f>
        <v>0</v>
      </c>
      <c r="D37" s="125">
        <f>'BASE PAX'!D12</f>
        <v>0</v>
      </c>
      <c r="E37" s="151">
        <f t="shared" si="4"/>
        <v>0</v>
      </c>
      <c r="F37" s="124">
        <f t="shared" si="3"/>
        <v>0</v>
      </c>
      <c r="G37" s="146">
        <f t="shared" si="5"/>
        <v>0</v>
      </c>
      <c r="I37" s="288"/>
    </row>
    <row r="38" spans="1:11" ht="20" customHeight="1">
      <c r="A38" s="155" t="str">
        <f>'BASE PAX'!A13</f>
        <v>LUNCH 7</v>
      </c>
      <c r="B38" s="74">
        <f>($B$5+$B$6)*'BASE PAX'!B13</f>
        <v>0</v>
      </c>
      <c r="C38" s="123">
        <f>'BASE PAX'!C13</f>
        <v>5000</v>
      </c>
      <c r="D38" s="125">
        <f>'BASE PAX'!D13</f>
        <v>6000</v>
      </c>
      <c r="E38" s="151">
        <f t="shared" si="4"/>
        <v>0</v>
      </c>
      <c r="F38" s="124">
        <f t="shared" si="3"/>
        <v>0</v>
      </c>
      <c r="G38" s="146">
        <f t="shared" si="5"/>
        <v>0</v>
      </c>
      <c r="I38" s="288"/>
    </row>
    <row r="39" spans="1:11" ht="20" customHeight="1">
      <c r="A39" s="156" t="str">
        <f>'BASE PAX'!A14</f>
        <v>SNACKS</v>
      </c>
      <c r="B39" s="75">
        <f>($B$5+$B$6)*'BASE PAX'!B14</f>
        <v>0</v>
      </c>
      <c r="C39" s="125">
        <f>'BASE PAX'!C14</f>
        <v>8000</v>
      </c>
      <c r="D39" s="145">
        <f>'BASE PAX'!D14</f>
        <v>9600</v>
      </c>
      <c r="E39" s="150">
        <f t="shared" si="4"/>
        <v>0</v>
      </c>
      <c r="F39" s="122">
        <f t="shared" si="3"/>
        <v>0</v>
      </c>
      <c r="G39" s="146">
        <f t="shared" si="5"/>
        <v>0</v>
      </c>
      <c r="I39" s="288"/>
    </row>
    <row r="40" spans="1:11" ht="20" customHeight="1">
      <c r="A40" s="155" t="str">
        <f>'BASE PAX'!A15</f>
        <v>DINNER 1</v>
      </c>
      <c r="B40" s="74">
        <f>($B$5+$B$6)*'BASE PAX'!B15</f>
        <v>0</v>
      </c>
      <c r="C40" s="123">
        <f>'BASE PAX'!C15</f>
        <v>70000</v>
      </c>
      <c r="D40" s="125">
        <f>'BASE PAX'!D15</f>
        <v>84000</v>
      </c>
      <c r="E40" s="151">
        <f t="shared" si="4"/>
        <v>0</v>
      </c>
      <c r="F40" s="124">
        <f t="shared" si="3"/>
        <v>0</v>
      </c>
      <c r="G40" s="146">
        <f t="shared" si="5"/>
        <v>0</v>
      </c>
      <c r="H40" s="287"/>
      <c r="I40" s="289"/>
    </row>
    <row r="41" spans="1:11" ht="20" customHeight="1">
      <c r="A41" s="155" t="str">
        <f>'BASE PAX'!A16</f>
        <v>DINNER 2</v>
      </c>
      <c r="B41" s="74">
        <f>($B$5+$B$6)*'BASE PAX'!B16</f>
        <v>0</v>
      </c>
      <c r="C41" s="123">
        <f>'BASE PAX'!C16</f>
        <v>25000</v>
      </c>
      <c r="D41" s="125">
        <f>'BASE PAX'!D16</f>
        <v>30000</v>
      </c>
      <c r="E41" s="151">
        <f t="shared" si="4"/>
        <v>0</v>
      </c>
      <c r="F41" s="124">
        <f t="shared" si="3"/>
        <v>0</v>
      </c>
      <c r="G41" s="146">
        <f t="shared" si="5"/>
        <v>0</v>
      </c>
      <c r="I41" s="288"/>
    </row>
    <row r="42" spans="1:11" ht="20" customHeight="1">
      <c r="A42" s="155" t="str">
        <f>'BASE PAX'!A17</f>
        <v>DINNER 3</v>
      </c>
      <c r="B42" s="74">
        <f>($B$5+$B$6)*'BASE PAX'!B17</f>
        <v>0</v>
      </c>
      <c r="C42" s="123">
        <f>'BASE PAX'!C17</f>
        <v>50000</v>
      </c>
      <c r="D42" s="125">
        <f>'BASE PAX'!D17</f>
        <v>60000</v>
      </c>
      <c r="E42" s="151">
        <f t="shared" si="4"/>
        <v>0</v>
      </c>
      <c r="F42" s="124">
        <f t="shared" si="3"/>
        <v>0</v>
      </c>
      <c r="G42" s="146">
        <f t="shared" si="5"/>
        <v>0</v>
      </c>
      <c r="I42" s="288"/>
    </row>
    <row r="43" spans="1:11" ht="20" customHeight="1">
      <c r="A43" s="155" t="str">
        <f>'BASE PAX'!A18</f>
        <v>DINNER 4</v>
      </c>
      <c r="B43" s="74">
        <f>($B$5+$B$6)*'BASE PAX'!B18</f>
        <v>0</v>
      </c>
      <c r="C43" s="123">
        <f>'BASE PAX'!C18</f>
        <v>65000</v>
      </c>
      <c r="D43" s="125">
        <f>'BASE PAX'!D18</f>
        <v>78000</v>
      </c>
      <c r="E43" s="151">
        <f t="shared" si="4"/>
        <v>0</v>
      </c>
      <c r="F43" s="124">
        <f t="shared" si="3"/>
        <v>0</v>
      </c>
      <c r="G43" s="146">
        <f t="shared" si="5"/>
        <v>0</v>
      </c>
      <c r="I43" s="9"/>
    </row>
    <row r="44" spans="1:11" ht="20" customHeight="1">
      <c r="A44" s="155" t="str">
        <f>'BASE PAX'!A19</f>
        <v>DINNER 5</v>
      </c>
      <c r="B44" s="74">
        <f>($B$5+$B$6)*'BASE PAX'!B19</f>
        <v>0</v>
      </c>
      <c r="C44" s="123">
        <f>'BASE PAX'!C19</f>
        <v>75000</v>
      </c>
      <c r="D44" s="125">
        <f>'BASE PAX'!D19</f>
        <v>90000</v>
      </c>
      <c r="E44" s="151">
        <f t="shared" si="4"/>
        <v>0</v>
      </c>
      <c r="F44" s="124">
        <f t="shared" si="3"/>
        <v>0</v>
      </c>
      <c r="G44" s="146">
        <f t="shared" si="5"/>
        <v>0</v>
      </c>
      <c r="I44" s="9"/>
    </row>
    <row r="45" spans="1:11" ht="20" customHeight="1">
      <c r="A45" s="155" t="str">
        <f>'BASE PAX'!A20</f>
        <v>DINNER 6</v>
      </c>
      <c r="B45" s="74">
        <f>($B$5+$B$6)*'BASE PAX'!B20</f>
        <v>0</v>
      </c>
      <c r="C45" s="123">
        <f>'BASE PAX'!C20</f>
        <v>0</v>
      </c>
      <c r="D45" s="125">
        <f>'BASE PAX'!D20</f>
        <v>0</v>
      </c>
      <c r="E45" s="151">
        <f t="shared" si="4"/>
        <v>0</v>
      </c>
      <c r="F45" s="124">
        <f t="shared" si="3"/>
        <v>0</v>
      </c>
      <c r="G45" s="146">
        <f t="shared" si="5"/>
        <v>0</v>
      </c>
      <c r="I45" s="9"/>
    </row>
    <row r="46" spans="1:11" ht="20" customHeight="1" thickBot="1">
      <c r="A46" s="155" t="str">
        <f>'BASE PAX'!A21</f>
        <v>DINNER 7</v>
      </c>
      <c r="B46" s="74">
        <f>($B$5+$B$6)*'BASE PAX'!B21</f>
        <v>0</v>
      </c>
      <c r="C46" s="123">
        <f>'BASE PAX'!C21</f>
        <v>75000</v>
      </c>
      <c r="D46" s="125">
        <f>'BASE PAX'!D21</f>
        <v>90000</v>
      </c>
      <c r="E46" s="151">
        <f t="shared" si="4"/>
        <v>0</v>
      </c>
      <c r="F46" s="124">
        <f t="shared" si="3"/>
        <v>0</v>
      </c>
      <c r="G46" s="146">
        <f t="shared" si="5"/>
        <v>0</v>
      </c>
      <c r="I46" s="10"/>
    </row>
    <row r="47" spans="1:11" ht="20" customHeight="1">
      <c r="A47" s="155" t="str">
        <f>'BASE PAX'!A22</f>
        <v>QUANT. TOTAL | PADRAO ALMOÇO</v>
      </c>
      <c r="B47" s="74">
        <f>'BASE PAX'!B22</f>
        <v>0</v>
      </c>
      <c r="C47" s="123"/>
      <c r="D47" s="125"/>
      <c r="E47" s="151"/>
      <c r="F47" s="124"/>
      <c r="G47" s="325">
        <f>0.2*I47</f>
        <v>0</v>
      </c>
      <c r="H47" s="337" t="str">
        <f>A47</f>
        <v>QUANT. TOTAL | PADRAO ALMOÇO</v>
      </c>
      <c r="I47" s="348">
        <f>(B5*B47*'BASE PAX'!G22)+(B6*B47*'BASE PAX'!H22)</f>
        <v>0</v>
      </c>
      <c r="J47" s="328"/>
      <c r="K47" s="329"/>
    </row>
    <row r="48" spans="1:11" ht="20" customHeight="1" thickBot="1">
      <c r="A48" s="163" t="str">
        <f>'BASE PAX'!A23</f>
        <v>QUANT. TOTAL | PADRAO JANTAR</v>
      </c>
      <c r="B48" s="164">
        <f>'BASE PAX'!B23</f>
        <v>0</v>
      </c>
      <c r="C48" s="165"/>
      <c r="D48" s="166"/>
      <c r="E48" s="167"/>
      <c r="F48" s="168"/>
      <c r="G48" s="326">
        <f>0.2*I48</f>
        <v>0</v>
      </c>
      <c r="H48" s="346" t="str">
        <f>A48</f>
        <v>QUANT. TOTAL | PADRAO JANTAR</v>
      </c>
      <c r="I48" s="334">
        <f>(B5*B48*'BASE PAX'!G23)+(B6*B48*'BASE PAX'!H23)</f>
        <v>0</v>
      </c>
      <c r="J48" s="330"/>
      <c r="K48" s="331"/>
    </row>
    <row r="49" spans="1:16" ht="29" customHeight="1" thickBot="1">
      <c r="A49" s="161" t="s">
        <v>72</v>
      </c>
      <c r="B49" s="157"/>
      <c r="C49" s="158"/>
      <c r="D49" s="303"/>
      <c r="E49" s="104">
        <f>SUM(E31:E48)</f>
        <v>0</v>
      </c>
      <c r="F49" s="104">
        <f>SUM(F31:F48)</f>
        <v>0</v>
      </c>
      <c r="G49" s="327">
        <f>SUM(G31:G48)</f>
        <v>0</v>
      </c>
      <c r="H49" s="339" t="s">
        <v>55</v>
      </c>
      <c r="I49" s="340">
        <f>I31+I47+I48</f>
        <v>0</v>
      </c>
      <c r="J49" s="358">
        <f>I49+E49</f>
        <v>0</v>
      </c>
      <c r="K49" s="332" t="s">
        <v>160</v>
      </c>
    </row>
    <row r="50" spans="1:16" s="8" customFormat="1" ht="11" customHeight="1" thickBot="1">
      <c r="A50" s="16"/>
      <c r="B50" s="56"/>
      <c r="C50" s="105"/>
      <c r="D50" s="102"/>
      <c r="E50" s="102"/>
      <c r="F50" s="7"/>
      <c r="G50" s="17"/>
      <c r="H50" s="7"/>
      <c r="I50" s="7"/>
      <c r="J50" s="7"/>
      <c r="K50" s="7"/>
      <c r="L50" s="7"/>
      <c r="M50" s="7"/>
      <c r="N50" s="7"/>
      <c r="O50" s="7"/>
      <c r="P50" s="7"/>
    </row>
    <row r="51" spans="1:16" ht="34" customHeight="1" thickBot="1">
      <c r="A51" s="21" t="s">
        <v>161</v>
      </c>
      <c r="B51" s="207" t="s">
        <v>52</v>
      </c>
      <c r="C51" s="208" t="s">
        <v>53</v>
      </c>
      <c r="D51" s="209" t="s">
        <v>54</v>
      </c>
      <c r="E51" s="172" t="s">
        <v>55</v>
      </c>
      <c r="F51" s="142" t="s">
        <v>158</v>
      </c>
      <c r="G51" s="182" t="s">
        <v>159</v>
      </c>
    </row>
    <row r="52" spans="1:16" ht="20" customHeight="1">
      <c r="A52" s="76" t="str">
        <f>'BASE PAX'!A27</f>
        <v>SUCOS</v>
      </c>
      <c r="B52" s="205">
        <f>'BASE PAX'!B27</f>
        <v>0</v>
      </c>
      <c r="C52" s="193">
        <f>'BASE PAX'!C27</f>
        <v>0</v>
      </c>
      <c r="D52" s="206">
        <f t="shared" ref="D52:D58" si="6">(C52*0.2)+C52</f>
        <v>0</v>
      </c>
      <c r="E52" s="174">
        <f t="shared" ref="E52:E58" si="7">D52*B52</f>
        <v>0</v>
      </c>
      <c r="F52" s="173">
        <f t="shared" ref="F52:F58" si="8">B52*C52</f>
        <v>0</v>
      </c>
      <c r="G52" s="183">
        <f t="shared" ref="G52:G59" si="9">E52-F52</f>
        <v>0</v>
      </c>
    </row>
    <row r="53" spans="1:16" ht="20" customHeight="1">
      <c r="A53" s="76" t="str">
        <f>'BASE PAX'!A28</f>
        <v>SUCOS</v>
      </c>
      <c r="B53" s="205">
        <f>'BASE PAX'!B28</f>
        <v>0</v>
      </c>
      <c r="C53" s="175">
        <f>'BASE PAX'!C28</f>
        <v>0</v>
      </c>
      <c r="D53" s="176">
        <f t="shared" si="6"/>
        <v>0</v>
      </c>
      <c r="E53" s="174">
        <f t="shared" si="7"/>
        <v>0</v>
      </c>
      <c r="F53" s="173">
        <f t="shared" si="8"/>
        <v>0</v>
      </c>
      <c r="G53" s="183">
        <f t="shared" si="9"/>
        <v>0</v>
      </c>
    </row>
    <row r="54" spans="1:16" ht="20" customHeight="1">
      <c r="A54" s="76" t="str">
        <f>'BASE PAX'!A29</f>
        <v>CERVEJAS</v>
      </c>
      <c r="B54" s="205">
        <f>'BASE PAX'!B29</f>
        <v>0</v>
      </c>
      <c r="C54" s="175">
        <f>'BASE PAX'!C29</f>
        <v>2000</v>
      </c>
      <c r="D54" s="176">
        <f t="shared" si="6"/>
        <v>2400</v>
      </c>
      <c r="E54" s="174">
        <f t="shared" si="7"/>
        <v>0</v>
      </c>
      <c r="F54" s="173">
        <f t="shared" si="8"/>
        <v>0</v>
      </c>
      <c r="G54" s="183">
        <f t="shared" si="9"/>
        <v>0</v>
      </c>
    </row>
    <row r="55" spans="1:16" ht="20" customHeight="1">
      <c r="A55" s="76" t="str">
        <f>'BASE PAX'!A30</f>
        <v>VINHOS</v>
      </c>
      <c r="B55" s="205">
        <f>'BASE PAX'!B30</f>
        <v>0</v>
      </c>
      <c r="C55" s="175">
        <f>'BASE PAX'!C30</f>
        <v>8000</v>
      </c>
      <c r="D55" s="176">
        <f t="shared" si="6"/>
        <v>9600</v>
      </c>
      <c r="E55" s="174">
        <f t="shared" si="7"/>
        <v>0</v>
      </c>
      <c r="F55" s="173">
        <f t="shared" si="8"/>
        <v>0</v>
      </c>
      <c r="G55" s="183">
        <f t="shared" si="9"/>
        <v>0</v>
      </c>
    </row>
    <row r="56" spans="1:16" ht="20" customHeight="1">
      <c r="A56" s="76" t="str">
        <f>'BASE PAX'!A31</f>
        <v>DRINKS</v>
      </c>
      <c r="B56" s="205">
        <f>'BASE PAX'!B31</f>
        <v>0</v>
      </c>
      <c r="C56" s="175">
        <f>'BASE PAX'!C31</f>
        <v>15000</v>
      </c>
      <c r="D56" s="176">
        <f t="shared" si="6"/>
        <v>18000</v>
      </c>
      <c r="E56" s="174">
        <f t="shared" si="7"/>
        <v>0</v>
      </c>
      <c r="F56" s="173">
        <f t="shared" si="8"/>
        <v>0</v>
      </c>
      <c r="G56" s="183">
        <f t="shared" si="9"/>
        <v>0</v>
      </c>
    </row>
    <row r="57" spans="1:16" ht="20" customHeight="1">
      <c r="A57" s="76" t="str">
        <f>'BASE PAX'!A32</f>
        <v>COOLER</v>
      </c>
      <c r="B57" s="205">
        <f>'BASE PAX'!B32</f>
        <v>0</v>
      </c>
      <c r="C57" s="175">
        <f>'BASE PAX'!C32</f>
        <v>5000</v>
      </c>
      <c r="D57" s="176">
        <f t="shared" si="6"/>
        <v>6000</v>
      </c>
      <c r="E57" s="174">
        <f t="shared" si="7"/>
        <v>0</v>
      </c>
      <c r="F57" s="173">
        <f t="shared" si="8"/>
        <v>0</v>
      </c>
      <c r="G57" s="183">
        <f t="shared" si="9"/>
        <v>0</v>
      </c>
    </row>
    <row r="58" spans="1:16" ht="20" customHeight="1" thickBot="1">
      <c r="A58" s="177">
        <f>'BASE PAX'!A33</f>
        <v>0</v>
      </c>
      <c r="B58" s="205">
        <f>'BASE PAX'!B33</f>
        <v>0</v>
      </c>
      <c r="C58" s="178">
        <f>'BASE PAX'!C33</f>
        <v>0</v>
      </c>
      <c r="D58" s="179">
        <f t="shared" si="6"/>
        <v>0</v>
      </c>
      <c r="E58" s="184">
        <f t="shared" si="7"/>
        <v>0</v>
      </c>
      <c r="F58" s="185">
        <f t="shared" si="8"/>
        <v>0</v>
      </c>
      <c r="G58" s="186">
        <f t="shared" si="9"/>
        <v>0</v>
      </c>
    </row>
    <row r="59" spans="1:16" ht="48" customHeight="1" thickBot="1">
      <c r="A59" s="21" t="s">
        <v>79</v>
      </c>
      <c r="B59" s="77"/>
      <c r="C59" s="126"/>
      <c r="D59" s="181"/>
      <c r="E59" s="127">
        <f>SUM(E52:E58)</f>
        <v>0</v>
      </c>
      <c r="F59" s="187">
        <f>SUM(F52:F58)</f>
        <v>0</v>
      </c>
      <c r="G59" s="148">
        <f t="shared" si="9"/>
        <v>0</v>
      </c>
    </row>
    <row r="60" spans="1:16" s="8" customFormat="1" ht="11" customHeight="1" thickBot="1">
      <c r="A60" s="16"/>
      <c r="B60" s="56"/>
      <c r="C60" s="105"/>
      <c r="D60" s="102"/>
      <c r="E60" s="102"/>
      <c r="F60" s="7"/>
      <c r="G60" s="17"/>
      <c r="H60" s="7"/>
      <c r="I60" s="7"/>
      <c r="J60" s="7"/>
      <c r="K60" s="7"/>
      <c r="L60" s="7"/>
      <c r="M60" s="7"/>
      <c r="N60" s="7"/>
      <c r="O60" s="7"/>
      <c r="P60" s="7"/>
    </row>
    <row r="61" spans="1:16" s="10" customFormat="1" ht="42" customHeight="1" thickBot="1">
      <c r="A61" s="226" t="s">
        <v>18</v>
      </c>
      <c r="B61" s="227" t="s">
        <v>52</v>
      </c>
      <c r="C61" s="228" t="s">
        <v>53</v>
      </c>
      <c r="D61" s="229" t="s">
        <v>54</v>
      </c>
      <c r="E61" s="229" t="s">
        <v>55</v>
      </c>
      <c r="F61" s="228" t="s">
        <v>158</v>
      </c>
      <c r="G61" s="230" t="s">
        <v>159</v>
      </c>
    </row>
    <row r="62" spans="1:16" ht="20" customHeight="1">
      <c r="A62" s="223" t="str">
        <f>'BASE PAX'!A37</f>
        <v>HOTTUBE</v>
      </c>
      <c r="B62" s="224">
        <f>'BASE PAX'!B37</f>
        <v>0</v>
      </c>
      <c r="C62" s="195">
        <f>'BASE PAX'!C37</f>
        <v>12000</v>
      </c>
      <c r="D62" s="225">
        <f t="shared" ref="D62:D71" si="10">C62*0.2+C62</f>
        <v>14400</v>
      </c>
      <c r="E62" s="225">
        <f t="shared" ref="E62:E71" si="11">D62*B62</f>
        <v>0</v>
      </c>
      <c r="F62" s="195">
        <f t="shared" ref="F62:F72" si="12">B62*C62</f>
        <v>0</v>
      </c>
      <c r="G62" s="194">
        <f t="shared" ref="G62:G72" si="13">E62-F62</f>
        <v>0</v>
      </c>
    </row>
    <row r="63" spans="1:16" ht="20" customHeight="1">
      <c r="A63" s="219" t="str">
        <f>'BASE PAX'!A38</f>
        <v>TREKKING 1/2 DAY</v>
      </c>
      <c r="B63" s="224">
        <f>'BASE PAX'!B38</f>
        <v>0</v>
      </c>
      <c r="C63" s="196">
        <f>'BASE PAX'!C38</f>
        <v>60000</v>
      </c>
      <c r="D63" s="220">
        <f t="shared" si="10"/>
        <v>72000</v>
      </c>
      <c r="E63" s="220">
        <f t="shared" si="11"/>
        <v>0</v>
      </c>
      <c r="F63" s="196">
        <f t="shared" si="12"/>
        <v>0</v>
      </c>
      <c r="G63" s="190">
        <f t="shared" si="13"/>
        <v>0</v>
      </c>
    </row>
    <row r="64" spans="1:16" ht="20" customHeight="1">
      <c r="A64" s="219" t="str">
        <f>'BASE PAX'!A39</f>
        <v>TREKKING FUK DAY</v>
      </c>
      <c r="B64" s="224">
        <f>'BASE PAX'!B39</f>
        <v>0</v>
      </c>
      <c r="C64" s="196">
        <f>'BASE PAX'!C39</f>
        <v>90000</v>
      </c>
      <c r="D64" s="220">
        <f t="shared" si="10"/>
        <v>108000</v>
      </c>
      <c r="E64" s="220">
        <f t="shared" si="11"/>
        <v>0</v>
      </c>
      <c r="F64" s="196">
        <f t="shared" si="12"/>
        <v>0</v>
      </c>
      <c r="G64" s="190">
        <f t="shared" si="13"/>
        <v>0</v>
      </c>
    </row>
    <row r="65" spans="1:16" ht="20" customHeight="1">
      <c r="A65" s="219" t="str">
        <f>'BASE PAX'!A40</f>
        <v>FLOTADA FAMILIAR</v>
      </c>
      <c r="B65" s="224">
        <f>'BASE PAX'!B40</f>
        <v>0</v>
      </c>
      <c r="C65" s="196">
        <f>'BASE PAX'!C40</f>
        <v>60000</v>
      </c>
      <c r="D65" s="220">
        <f t="shared" si="10"/>
        <v>72000</v>
      </c>
      <c r="E65" s="220">
        <f t="shared" si="11"/>
        <v>0</v>
      </c>
      <c r="F65" s="196">
        <f t="shared" si="12"/>
        <v>0</v>
      </c>
      <c r="G65" s="190">
        <f t="shared" si="13"/>
        <v>0</v>
      </c>
    </row>
    <row r="66" spans="1:16" ht="20" customHeight="1">
      <c r="A66" s="219" t="str">
        <f>'BASE PAX'!A41</f>
        <v>RAFTING 1/2 DAY</v>
      </c>
      <c r="B66" s="224">
        <f>'BASE PAX'!B41</f>
        <v>0</v>
      </c>
      <c r="C66" s="196">
        <f>'BASE PAX'!C41</f>
        <v>75000</v>
      </c>
      <c r="D66" s="220">
        <f t="shared" si="10"/>
        <v>90000</v>
      </c>
      <c r="E66" s="220">
        <f t="shared" si="11"/>
        <v>0</v>
      </c>
      <c r="F66" s="196">
        <f t="shared" si="12"/>
        <v>0</v>
      </c>
      <c r="G66" s="190">
        <f t="shared" si="13"/>
        <v>0</v>
      </c>
    </row>
    <row r="67" spans="1:16" ht="20" customHeight="1">
      <c r="A67" s="219" t="str">
        <f>'BASE PAX'!A42</f>
        <v>RAFTING FULL DAY</v>
      </c>
      <c r="B67" s="224">
        <f>'BASE PAX'!B42</f>
        <v>0</v>
      </c>
      <c r="C67" s="196">
        <f>'BASE PAX'!C42</f>
        <v>110000</v>
      </c>
      <c r="D67" s="220">
        <f t="shared" si="10"/>
        <v>132000</v>
      </c>
      <c r="E67" s="220">
        <f t="shared" si="11"/>
        <v>0</v>
      </c>
      <c r="F67" s="196">
        <f t="shared" si="12"/>
        <v>0</v>
      </c>
      <c r="G67" s="190">
        <f t="shared" si="13"/>
        <v>0</v>
      </c>
    </row>
    <row r="68" spans="1:16" ht="20" customHeight="1">
      <c r="A68" s="219" t="str">
        <f>'BASE PAX'!A43</f>
        <v>CABALGADA 1/2 DAy</v>
      </c>
      <c r="B68" s="224">
        <f>'BASE PAX'!B43</f>
        <v>0</v>
      </c>
      <c r="C68" s="196">
        <f>'BASE PAX'!C43</f>
        <v>90000</v>
      </c>
      <c r="D68" s="220">
        <f t="shared" si="10"/>
        <v>108000</v>
      </c>
      <c r="E68" s="220">
        <f t="shared" si="11"/>
        <v>0</v>
      </c>
      <c r="F68" s="196">
        <f t="shared" si="12"/>
        <v>0</v>
      </c>
      <c r="G68" s="190">
        <f t="shared" si="13"/>
        <v>0</v>
      </c>
    </row>
    <row r="69" spans="1:16" ht="20" customHeight="1">
      <c r="A69" s="219" t="str">
        <f>'BASE PAX'!A44</f>
        <v>CABALGADA FULL DAY</v>
      </c>
      <c r="B69" s="224">
        <f>'BASE PAX'!B44</f>
        <v>0</v>
      </c>
      <c r="C69" s="196">
        <f>'BASE PAX'!C44</f>
        <v>140000</v>
      </c>
      <c r="D69" s="220">
        <f t="shared" si="10"/>
        <v>168000</v>
      </c>
      <c r="E69" s="220">
        <f t="shared" si="11"/>
        <v>0</v>
      </c>
      <c r="F69" s="196">
        <f t="shared" si="12"/>
        <v>0</v>
      </c>
      <c r="G69" s="190">
        <f t="shared" si="13"/>
        <v>0</v>
      </c>
    </row>
    <row r="70" spans="1:16" ht="20" customHeight="1">
      <c r="A70" s="219" t="str">
        <f>'BASE PAX'!A45</f>
        <v>LANCHA YELCHO</v>
      </c>
      <c r="B70" s="224">
        <f>'BASE PAX'!B45</f>
        <v>0</v>
      </c>
      <c r="C70" s="196">
        <f>'BASE PAX'!C45</f>
        <v>120000</v>
      </c>
      <c r="D70" s="220">
        <f t="shared" si="10"/>
        <v>144000</v>
      </c>
      <c r="E70" s="220">
        <f t="shared" si="11"/>
        <v>0</v>
      </c>
      <c r="F70" s="196">
        <f t="shared" si="12"/>
        <v>0</v>
      </c>
      <c r="G70" s="190">
        <f t="shared" si="13"/>
        <v>0</v>
      </c>
    </row>
    <row r="71" spans="1:16" ht="20" customHeight="1" thickBot="1">
      <c r="A71" s="221" t="str">
        <f>'BASE PAX'!A46</f>
        <v>RECREACAO INFANTIL 3HS</v>
      </c>
      <c r="B71" s="224">
        <f>'BASE PAX'!B46</f>
        <v>0</v>
      </c>
      <c r="C71" s="197">
        <f>'BASE PAX'!C46</f>
        <v>30000</v>
      </c>
      <c r="D71" s="220">
        <f t="shared" si="10"/>
        <v>36000</v>
      </c>
      <c r="E71" s="222">
        <f t="shared" si="11"/>
        <v>0</v>
      </c>
      <c r="F71" s="197">
        <f t="shared" si="12"/>
        <v>0</v>
      </c>
      <c r="G71" s="192">
        <f t="shared" si="13"/>
        <v>0</v>
      </c>
    </row>
    <row r="72" spans="1:16" ht="48" customHeight="1" thickBot="1">
      <c r="A72" s="22" t="s">
        <v>84</v>
      </c>
      <c r="B72" s="79"/>
      <c r="C72" s="128"/>
      <c r="D72" s="128"/>
      <c r="E72" s="198">
        <f>SUM(E62:E71)</f>
        <v>0</v>
      </c>
      <c r="F72" s="129">
        <f t="shared" si="12"/>
        <v>0</v>
      </c>
      <c r="G72" s="202">
        <f t="shared" si="13"/>
        <v>0</v>
      </c>
    </row>
    <row r="73" spans="1:16" ht="37" customHeight="1" thickBot="1"/>
    <row r="74" spans="1:16" s="8" customFormat="1" ht="36" customHeight="1" thickBot="1">
      <c r="A74" s="23" t="s">
        <v>116</v>
      </c>
      <c r="B74" s="214" t="s">
        <v>52</v>
      </c>
      <c r="C74" s="215" t="s">
        <v>53</v>
      </c>
      <c r="D74" s="153" t="s">
        <v>54</v>
      </c>
      <c r="E74" s="153" t="s">
        <v>55</v>
      </c>
      <c r="F74" s="143" t="s">
        <v>162</v>
      </c>
      <c r="G74" s="147" t="s">
        <v>159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 ht="20" customHeight="1">
      <c r="A75" s="78" t="str">
        <f>'BASE PAX'!A50</f>
        <v>TRANSFER AEROPORTO CHEGADA</v>
      </c>
      <c r="B75" s="211">
        <f>'BASE PAX'!B50</f>
        <v>0</v>
      </c>
      <c r="C75" s="213">
        <f>'BASE PAX'!C50</f>
        <v>80000</v>
      </c>
      <c r="D75" s="231">
        <f>C75*0.2+C75</f>
        <v>96000</v>
      </c>
      <c r="E75" s="231">
        <f>D75*B75</f>
        <v>0</v>
      </c>
      <c r="F75" s="210">
        <f>B75*C75</f>
        <v>0</v>
      </c>
      <c r="G75" s="199">
        <f t="shared" ref="G75:G80" si="14">E75-F75</f>
        <v>0</v>
      </c>
    </row>
    <row r="76" spans="1:16" ht="20" customHeight="1">
      <c r="A76" s="78" t="str">
        <f>'BASE PAX'!A51</f>
        <v>TRANSFER AEROPORTO PARTIDA</v>
      </c>
      <c r="B76" s="211">
        <f>'BASE PAX'!B51</f>
        <v>0</v>
      </c>
      <c r="C76" s="212">
        <f>'BASE PAX'!C51</f>
        <v>80000</v>
      </c>
      <c r="D76" s="232">
        <f>C76*0.2+C76</f>
        <v>96000</v>
      </c>
      <c r="E76" s="232">
        <f>D76*B76</f>
        <v>0</v>
      </c>
      <c r="F76" s="210">
        <f>B76*C76</f>
        <v>0</v>
      </c>
      <c r="G76" s="200">
        <f t="shared" si="14"/>
        <v>0</v>
      </c>
    </row>
    <row r="77" spans="1:16" ht="20" customHeight="1">
      <c r="A77" s="78" t="str">
        <f>'BASE PAX'!A52</f>
        <v>TRANSFERS INTERNO</v>
      </c>
      <c r="B77" s="211">
        <f>'BASE PAX'!B52</f>
        <v>0</v>
      </c>
      <c r="C77" s="212">
        <f>'BASE PAX'!C52</f>
        <v>18000</v>
      </c>
      <c r="D77" s="232">
        <f>C77*0.2+C77</f>
        <v>21600</v>
      </c>
      <c r="E77" s="232">
        <f>D77*B77</f>
        <v>0</v>
      </c>
      <c r="F77" s="210">
        <f>B77*C77</f>
        <v>0</v>
      </c>
      <c r="G77" s="200">
        <f t="shared" si="14"/>
        <v>0</v>
      </c>
    </row>
    <row r="78" spans="1:16" ht="20" customHeight="1">
      <c r="A78" s="78" t="str">
        <f>'BASE PAX'!A53</f>
        <v>EXTRAS 1</v>
      </c>
      <c r="B78" s="211">
        <f>'BASE PAX'!B53</f>
        <v>0</v>
      </c>
      <c r="C78" s="212">
        <f>'BASE PAX'!C53</f>
        <v>150000</v>
      </c>
      <c r="D78" s="232">
        <f>C78*0.2+C78</f>
        <v>180000</v>
      </c>
      <c r="E78" s="232">
        <f>D78*B78</f>
        <v>0</v>
      </c>
      <c r="F78" s="210">
        <f>B78*C78</f>
        <v>0</v>
      </c>
      <c r="G78" s="200">
        <f t="shared" si="14"/>
        <v>0</v>
      </c>
    </row>
    <row r="79" spans="1:16" ht="20" customHeight="1" thickBot="1">
      <c r="A79" s="191" t="str">
        <f>'BASE PAX'!A54</f>
        <v>EXTRAS 2</v>
      </c>
      <c r="B79" s="211">
        <f>'BASE PAX'!B54</f>
        <v>0</v>
      </c>
      <c r="C79" s="216">
        <f>'BASE PAX'!C54</f>
        <v>0</v>
      </c>
      <c r="D79" s="233">
        <f>C79*0.2+C79</f>
        <v>0</v>
      </c>
      <c r="E79" s="233">
        <f>D79*B79</f>
        <v>0</v>
      </c>
      <c r="F79" s="217">
        <f>B79*C79</f>
        <v>0</v>
      </c>
      <c r="G79" s="201">
        <f t="shared" si="14"/>
        <v>0</v>
      </c>
    </row>
    <row r="80" spans="1:16" ht="44" customHeight="1" thickBot="1">
      <c r="A80" s="23" t="s">
        <v>89</v>
      </c>
      <c r="B80" s="80"/>
      <c r="C80" s="130"/>
      <c r="D80" s="130"/>
      <c r="E80" s="131">
        <f>SUM(E75:E79)</f>
        <v>0</v>
      </c>
      <c r="F80" s="131">
        <f>SUM(F75:F79)</f>
        <v>0</v>
      </c>
      <c r="G80" s="202">
        <f t="shared" si="14"/>
        <v>0</v>
      </c>
    </row>
    <row r="81" spans="1:16" s="8" customFormat="1" ht="11" customHeight="1" thickBot="1">
      <c r="A81" s="16"/>
      <c r="B81" s="56"/>
      <c r="C81" s="105"/>
      <c r="D81" s="102"/>
      <c r="E81" s="102"/>
      <c r="F81" s="7"/>
      <c r="G81" s="17"/>
      <c r="H81" s="7"/>
      <c r="I81" s="7"/>
      <c r="J81" s="7"/>
      <c r="K81" s="7"/>
      <c r="L81" s="7"/>
      <c r="M81" s="7"/>
      <c r="N81" s="7"/>
      <c r="O81" s="7"/>
      <c r="P81" s="7"/>
    </row>
    <row r="82" spans="1:16" s="9" customFormat="1" ht="42" customHeight="1" thickBot="1">
      <c r="A82" s="246" t="s">
        <v>117</v>
      </c>
      <c r="B82" s="247" t="s">
        <v>52</v>
      </c>
      <c r="C82" s="248" t="s">
        <v>53</v>
      </c>
      <c r="D82" s="249" t="s">
        <v>54</v>
      </c>
      <c r="E82" s="249" t="s">
        <v>55</v>
      </c>
      <c r="F82" s="248" t="s">
        <v>162</v>
      </c>
      <c r="G82" s="147" t="s">
        <v>159</v>
      </c>
    </row>
    <row r="83" spans="1:16" ht="20" customHeight="1">
      <c r="A83" s="81" t="str">
        <f>'BASE PAX'!A58</f>
        <v>WS INSTRUCTOR</v>
      </c>
      <c r="B83" s="238">
        <f>'BASE PAX'!B58</f>
        <v>0</v>
      </c>
      <c r="C83" s="239">
        <f>'BASE PAX'!C58</f>
        <v>3415000</v>
      </c>
      <c r="D83" s="240">
        <f>(C83*0.15)+C83</f>
        <v>3927250</v>
      </c>
      <c r="E83" s="240">
        <f>D83*B83</f>
        <v>0</v>
      </c>
      <c r="F83" s="234">
        <f>B83*C83</f>
        <v>0</v>
      </c>
      <c r="G83" s="199">
        <f>E83-F83</f>
        <v>0</v>
      </c>
    </row>
    <row r="84" spans="1:16" ht="20" customHeight="1">
      <c r="A84" s="81" t="str">
        <f>'BASE PAX'!A59</f>
        <v>PRODUCER FEE</v>
      </c>
      <c r="B84" s="235">
        <f>'BASE PAX'!B59</f>
        <v>0</v>
      </c>
      <c r="C84" s="236">
        <f>'BASE PAX'!C59</f>
        <v>180000</v>
      </c>
      <c r="D84" s="237">
        <f>(C84*0.15)+C84</f>
        <v>207000</v>
      </c>
      <c r="E84" s="237">
        <f>D84*B84</f>
        <v>0</v>
      </c>
      <c r="F84" s="234">
        <f>B84*C84</f>
        <v>0</v>
      </c>
      <c r="G84" s="200">
        <f>E84-F84</f>
        <v>0</v>
      </c>
    </row>
    <row r="85" spans="1:16" ht="20" customHeight="1" thickBot="1">
      <c r="A85" s="241">
        <f>'BASE PAX'!A60</f>
        <v>0</v>
      </c>
      <c r="B85" s="242">
        <f>'BASE PAX'!B60</f>
        <v>0</v>
      </c>
      <c r="C85" s="243">
        <f>'BASE PAX'!C60</f>
        <v>20000</v>
      </c>
      <c r="D85" s="244">
        <f>(C85*0.15)+C85</f>
        <v>23000</v>
      </c>
      <c r="E85" s="244">
        <f>D85*B85</f>
        <v>0</v>
      </c>
      <c r="F85" s="245">
        <f>B85*C85</f>
        <v>0</v>
      </c>
      <c r="G85" s="201">
        <f>E85-F85</f>
        <v>0</v>
      </c>
    </row>
    <row r="86" spans="1:16" ht="41" customHeight="1" thickBot="1">
      <c r="A86" s="24" t="s">
        <v>163</v>
      </c>
      <c r="B86" s="82"/>
      <c r="C86" s="132"/>
      <c r="D86" s="132"/>
      <c r="E86" s="133">
        <f>SUM(E83:E85)</f>
        <v>0</v>
      </c>
      <c r="F86" s="133">
        <f>SUM(F81:F85)</f>
        <v>0</v>
      </c>
      <c r="G86" s="202">
        <f>E86-F86</f>
        <v>0</v>
      </c>
    </row>
    <row r="87" spans="1:16" s="8" customFormat="1" ht="11" customHeight="1" thickBot="1">
      <c r="A87" s="16"/>
      <c r="B87" s="56"/>
      <c r="C87" s="105"/>
      <c r="D87" s="102"/>
      <c r="E87" s="102"/>
      <c r="F87" s="7"/>
      <c r="G87" s="17"/>
      <c r="H87" s="7"/>
      <c r="I87" s="7"/>
      <c r="J87" s="7"/>
      <c r="K87" s="7"/>
      <c r="L87" s="7"/>
      <c r="M87" s="7"/>
      <c r="N87" s="7"/>
      <c r="O87" s="7"/>
      <c r="P87" s="7"/>
    </row>
    <row r="88" spans="1:16" ht="38" customHeight="1" thickBot="1">
      <c r="A88" s="258" t="s">
        <v>164</v>
      </c>
      <c r="B88" s="259" t="s">
        <v>92</v>
      </c>
      <c r="C88" s="250" t="s">
        <v>53</v>
      </c>
      <c r="D88" s="260" t="s">
        <v>54</v>
      </c>
      <c r="E88" s="260" t="s">
        <v>55</v>
      </c>
      <c r="F88" s="250"/>
      <c r="G88" s="147" t="s">
        <v>159</v>
      </c>
    </row>
    <row r="89" spans="1:16" ht="20" customHeight="1">
      <c r="A89" s="255" t="str">
        <f>'BASE PAX'!A64</f>
        <v>COORDENAÇÃO PRODUÇÃO</v>
      </c>
      <c r="B89" s="256">
        <f>'BASE PAX'!B64</f>
        <v>0</v>
      </c>
      <c r="C89" s="257">
        <f>'BASE PAX'!C64</f>
        <v>50000</v>
      </c>
      <c r="D89" s="257">
        <f>'BASE PAX'!D64</f>
        <v>0</v>
      </c>
      <c r="E89" s="121">
        <f>D89*B89</f>
        <v>0</v>
      </c>
      <c r="F89" s="257"/>
      <c r="G89" s="199">
        <f t="shared" ref="G89:G94" si="15">E89*0.2</f>
        <v>0</v>
      </c>
    </row>
    <row r="90" spans="1:16" ht="20" customHeight="1">
      <c r="A90" s="251" t="str">
        <f>'BASE PAX'!A65</f>
        <v>EXTRA MÃO DE OBRA</v>
      </c>
      <c r="B90" s="256">
        <f>'BASE PAX'!B65</f>
        <v>0</v>
      </c>
      <c r="C90" s="253">
        <f>'BASE PAX'!C65</f>
        <v>50000</v>
      </c>
      <c r="D90" s="253">
        <f>'BASE PAX'!D65</f>
        <v>0</v>
      </c>
      <c r="E90" s="121">
        <f t="shared" ref="E90:E94" si="16">D90*B90</f>
        <v>0</v>
      </c>
      <c r="F90" s="253"/>
      <c r="G90" s="199">
        <f t="shared" si="15"/>
        <v>0</v>
      </c>
    </row>
    <row r="91" spans="1:16" ht="20" customHeight="1">
      <c r="A91" s="251" t="str">
        <f>'BASE PAX'!A66</f>
        <v>TAXA LIMPEZA CHECK IN / CHECKOUT</v>
      </c>
      <c r="B91" s="252">
        <f>'BASE PAX'!B66</f>
        <v>0</v>
      </c>
      <c r="C91" s="253">
        <f>'BASE PAX'!C66</f>
        <v>40000</v>
      </c>
      <c r="D91" s="253">
        <f>'BASE PAX'!D66</f>
        <v>0</v>
      </c>
      <c r="E91" s="121">
        <f t="shared" si="16"/>
        <v>0</v>
      </c>
      <c r="F91" s="253"/>
      <c r="G91" s="199">
        <f t="shared" si="15"/>
        <v>0</v>
      </c>
    </row>
    <row r="92" spans="1:16" ht="20" customHeight="1">
      <c r="A92" s="251" t="str">
        <f>'BASE PAX'!A67</f>
        <v>TAXA LIMPEZA DIARIA</v>
      </c>
      <c r="B92" s="254">
        <f>'BASE PAX'!B67</f>
        <v>0</v>
      </c>
      <c r="C92" s="253">
        <f>'BASE PAX'!C67</f>
        <v>30000</v>
      </c>
      <c r="D92" s="253">
        <f>'BASE PAX'!D67</f>
        <v>0</v>
      </c>
      <c r="E92" s="121">
        <f t="shared" si="16"/>
        <v>0</v>
      </c>
      <c r="F92" s="253"/>
      <c r="G92" s="199">
        <f t="shared" si="15"/>
        <v>0</v>
      </c>
    </row>
    <row r="93" spans="1:16" ht="20" customHeight="1">
      <c r="A93" s="251" t="str">
        <f>'BASE PAX'!A68</f>
        <v>SOUVENIR</v>
      </c>
      <c r="B93" s="252">
        <f>'BASE PAX'!B68</f>
        <v>0</v>
      </c>
      <c r="C93" s="253">
        <f>'BASE PAX'!C68</f>
        <v>15000</v>
      </c>
      <c r="D93" s="253">
        <f>'BASE PAX'!D68</f>
        <v>0</v>
      </c>
      <c r="E93" s="121">
        <f t="shared" si="16"/>
        <v>0</v>
      </c>
      <c r="F93" s="253"/>
      <c r="G93" s="199">
        <f t="shared" si="15"/>
        <v>0</v>
      </c>
    </row>
    <row r="94" spans="1:16" ht="20" customHeight="1" thickBot="1">
      <c r="A94" s="251" t="str">
        <f>'BASE PAX'!A69</f>
        <v>ASSISTENTE COORDENAÇÃO</v>
      </c>
      <c r="B94" s="256">
        <f>'BASE PAX'!B69</f>
        <v>0</v>
      </c>
      <c r="C94" s="253">
        <f>'BASE PAX'!C69</f>
        <v>30000</v>
      </c>
      <c r="D94" s="253">
        <f>'BASE PAX'!D69</f>
        <v>0</v>
      </c>
      <c r="E94" s="121">
        <f t="shared" si="16"/>
        <v>0</v>
      </c>
      <c r="F94" s="253"/>
      <c r="G94" s="199">
        <f t="shared" si="15"/>
        <v>0</v>
      </c>
    </row>
    <row r="95" spans="1:16" ht="41" customHeight="1" thickBot="1">
      <c r="A95" s="25" t="s">
        <v>101</v>
      </c>
      <c r="B95" s="83"/>
      <c r="C95" s="134"/>
      <c r="D95" s="134"/>
      <c r="E95" s="135">
        <f>SUM(E89:E94)</f>
        <v>0</v>
      </c>
      <c r="F95" s="135"/>
      <c r="G95" s="202">
        <f>SUM(G89:G94)</f>
        <v>0</v>
      </c>
    </row>
    <row r="96" spans="1:16" s="8" customFormat="1" ht="11" customHeight="1" thickBot="1">
      <c r="A96" s="16"/>
      <c r="B96" s="56"/>
      <c r="C96" s="105"/>
      <c r="D96" s="102"/>
      <c r="E96" s="102"/>
      <c r="F96" s="7"/>
      <c r="G96" s="17"/>
      <c r="H96" s="7"/>
      <c r="I96" s="7"/>
      <c r="J96" s="7"/>
      <c r="K96" s="7"/>
      <c r="L96" s="7"/>
      <c r="M96" s="7"/>
      <c r="N96" s="7"/>
      <c r="O96" s="7"/>
      <c r="P96" s="7"/>
    </row>
    <row r="97" spans="1:16" ht="38" customHeight="1" thickBot="1">
      <c r="A97" s="26" t="s">
        <v>165</v>
      </c>
      <c r="B97" s="27" t="s">
        <v>92</v>
      </c>
      <c r="C97" s="136" t="s">
        <v>53</v>
      </c>
      <c r="D97" s="136" t="s">
        <v>54</v>
      </c>
      <c r="E97" s="137" t="s">
        <v>55</v>
      </c>
      <c r="F97" s="20"/>
      <c r="G97" s="20"/>
    </row>
    <row r="98" spans="1:16" ht="23" customHeight="1" thickBot="1">
      <c r="A98" s="84" t="str">
        <f>'BASE PAX'!A73</f>
        <v xml:space="preserve">QUINCHO DAY USE / CABIN </v>
      </c>
      <c r="B98" s="85">
        <f>'BASE PAX'!B73</f>
        <v>0</v>
      </c>
      <c r="C98" s="138">
        <f>'BASE PAX'!C73</f>
        <v>15000</v>
      </c>
      <c r="D98" s="138">
        <f>C98+(C98*0.2)</f>
        <v>18000</v>
      </c>
      <c r="E98" s="139">
        <f>D98*B98</f>
        <v>0</v>
      </c>
      <c r="F98" s="19"/>
      <c r="G98" s="17"/>
    </row>
    <row r="99" spans="1:16" ht="42" customHeight="1" thickBot="1">
      <c r="A99" s="26" t="s">
        <v>104</v>
      </c>
      <c r="B99" s="86"/>
      <c r="C99" s="140"/>
      <c r="D99" s="140"/>
      <c r="E99" s="141">
        <f>E98</f>
        <v>0</v>
      </c>
    </row>
    <row r="100" spans="1:16" s="6" customFormat="1" ht="20" customHeight="1">
      <c r="A100" s="28"/>
      <c r="B100" s="52"/>
      <c r="C100" s="11"/>
      <c r="D100" s="11"/>
      <c r="E100" s="11"/>
      <c r="F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9" customHeight="1"/>
  </sheetData>
  <sheetProtection sheet="1" objects="1" scenarios="1"/>
  <mergeCells count="17">
    <mergeCell ref="A11:A12"/>
    <mergeCell ref="A28:D28"/>
    <mergeCell ref="B5:C5"/>
    <mergeCell ref="F20:F21"/>
    <mergeCell ref="B11:B12"/>
    <mergeCell ref="D11:D12"/>
    <mergeCell ref="B9:C9"/>
    <mergeCell ref="D9:E9"/>
    <mergeCell ref="B8:C8"/>
    <mergeCell ref="D8:E8"/>
    <mergeCell ref="D6:E6"/>
    <mergeCell ref="B6:C6"/>
    <mergeCell ref="I11:K11"/>
    <mergeCell ref="D7:E7"/>
    <mergeCell ref="B7:C7"/>
    <mergeCell ref="F11:G13"/>
    <mergeCell ref="G20:G21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101"/>
  <sheetViews>
    <sheetView topLeftCell="A22" zoomScale="120" zoomScaleNormal="120" workbookViewId="0">
      <selection activeCell="C92" sqref="C92"/>
    </sheetView>
  </sheetViews>
  <sheetFormatPr baseColWidth="10" defaultColWidth="11" defaultRowHeight="17"/>
  <cols>
    <col min="1" max="1" width="48.796875" style="7" customWidth="1"/>
    <col min="2" max="2" width="23.796875" style="52" customWidth="1"/>
    <col min="3" max="3" width="24" style="7" customWidth="1"/>
    <col min="4" max="4" width="22.796875" style="12" customWidth="1"/>
    <col min="5" max="5" width="22.19921875" style="11" customWidth="1"/>
    <col min="6" max="6" width="30.3984375" style="7" customWidth="1"/>
    <col min="7" max="7" width="27.796875" style="6" customWidth="1"/>
    <col min="8" max="8" width="32.3984375" style="7" customWidth="1"/>
    <col min="9" max="9" width="23.59765625" style="7" customWidth="1"/>
    <col min="10" max="10" width="25.19921875" style="7" customWidth="1"/>
    <col min="11" max="11" width="28.796875" style="7" customWidth="1"/>
    <col min="12" max="12" width="36.19921875" style="7" customWidth="1"/>
    <col min="13" max="28" width="11" style="7" customWidth="1"/>
    <col min="29" max="16384" width="11" style="7"/>
  </cols>
  <sheetData>
    <row r="1" spans="1:16" ht="22" hidden="1" customHeight="1" thickBot="1"/>
    <row r="2" spans="1:16" ht="7" customHeight="1">
      <c r="D2" s="13"/>
    </row>
    <row r="3" spans="1:16" s="10" customFormat="1" ht="1" customHeight="1">
      <c r="A3" s="14"/>
      <c r="B3" s="53"/>
      <c r="C3" s="15" t="s">
        <v>11</v>
      </c>
      <c r="D3" s="15"/>
      <c r="E3" s="15"/>
      <c r="G3" s="9"/>
    </row>
    <row r="4" spans="1:16" s="10" customFormat="1" ht="19" customHeight="1">
      <c r="A4" s="14"/>
      <c r="B4" s="53"/>
      <c r="C4" s="15"/>
      <c r="D4" s="15"/>
      <c r="E4" s="15"/>
      <c r="G4" s="9"/>
    </row>
    <row r="5" spans="1:16" s="10" customFormat="1" ht="48" customHeight="1">
      <c r="A5" s="54" t="s">
        <v>129</v>
      </c>
      <c r="B5" s="674">
        <v>2</v>
      </c>
      <c r="C5" s="675"/>
      <c r="D5" s="277"/>
      <c r="E5" s="277" t="s">
        <v>11</v>
      </c>
      <c r="F5" s="278"/>
      <c r="G5" s="9"/>
    </row>
    <row r="6" spans="1:16" s="8" customFormat="1" ht="37" customHeight="1">
      <c r="A6" s="54" t="s">
        <v>130</v>
      </c>
      <c r="B6" s="683">
        <v>0</v>
      </c>
      <c r="C6" s="684"/>
      <c r="D6" s="682" t="s">
        <v>131</v>
      </c>
      <c r="E6" s="661"/>
      <c r="F6" s="106">
        <f>D21</f>
        <v>0</v>
      </c>
    </row>
    <row r="7" spans="1:16" s="8" customFormat="1" ht="33" customHeight="1">
      <c r="A7" s="55" t="s">
        <v>132</v>
      </c>
      <c r="B7" s="662">
        <f>CALENDAR!C2</f>
        <v>0</v>
      </c>
      <c r="C7" s="661"/>
      <c r="D7" s="660" t="s">
        <v>133</v>
      </c>
      <c r="E7" s="661"/>
      <c r="F7" s="107">
        <f>SUM(F12:F20)</f>
        <v>0</v>
      </c>
    </row>
    <row r="8" spans="1:16" s="8" customFormat="1" ht="31" customHeight="1">
      <c r="A8" s="54" t="s">
        <v>134</v>
      </c>
      <c r="B8" s="680">
        <f>CALENDAR!C3</f>
        <v>0</v>
      </c>
      <c r="C8" s="661"/>
      <c r="D8" s="681" t="s">
        <v>135</v>
      </c>
      <c r="E8" s="661"/>
      <c r="F8" s="108">
        <f>F6-F7</f>
        <v>0</v>
      </c>
      <c r="G8" s="32"/>
    </row>
    <row r="9" spans="1:16" s="8" customFormat="1" ht="32" customHeight="1">
      <c r="A9" s="55" t="s">
        <v>136</v>
      </c>
      <c r="B9" s="678">
        <f>CALENDAR!J2</f>
        <v>0</v>
      </c>
      <c r="C9" s="661"/>
      <c r="D9" s="679" t="s">
        <v>137</v>
      </c>
      <c r="E9" s="661"/>
      <c r="F9" s="1"/>
      <c r="G9" s="32"/>
    </row>
    <row r="10" spans="1:16" s="8" customFormat="1" ht="30" customHeight="1" thickBot="1">
      <c r="A10" s="16"/>
      <c r="B10" s="56"/>
      <c r="C10" s="6"/>
      <c r="D10" s="7"/>
      <c r="E10" s="7"/>
      <c r="F10" s="7"/>
      <c r="G10" s="17"/>
      <c r="H10" s="7"/>
      <c r="I10" s="7"/>
      <c r="J10" s="7"/>
      <c r="K10" s="7"/>
      <c r="L10" s="7"/>
      <c r="M10" s="7"/>
      <c r="N10" s="7"/>
      <c r="O10" s="7"/>
      <c r="P10" s="7"/>
    </row>
    <row r="11" spans="1:16" s="6" customFormat="1" ht="44" customHeight="1" thickBot="1">
      <c r="A11" s="671" t="s">
        <v>138</v>
      </c>
      <c r="B11" s="677" t="s">
        <v>139</v>
      </c>
      <c r="C11" s="57" t="s">
        <v>140</v>
      </c>
      <c r="D11" s="677" t="s">
        <v>141</v>
      </c>
      <c r="E11" s="7"/>
      <c r="F11" s="738" t="str">
        <f>E5</f>
        <v>COIGUE</v>
      </c>
      <c r="G11" s="664"/>
      <c r="H11" s="7"/>
      <c r="I11" s="658" t="s">
        <v>142</v>
      </c>
      <c r="J11" s="659"/>
      <c r="K11" s="659"/>
      <c r="L11" s="7"/>
      <c r="M11" s="7"/>
      <c r="N11" s="7"/>
      <c r="O11" s="7"/>
      <c r="P11" s="7"/>
    </row>
    <row r="12" spans="1:16" s="6" customFormat="1" ht="32" customHeight="1">
      <c r="A12" s="659"/>
      <c r="B12" s="659"/>
      <c r="C12" s="58">
        <v>0.05</v>
      </c>
      <c r="D12" s="659"/>
      <c r="E12" s="7"/>
      <c r="F12" s="665"/>
      <c r="G12" s="666"/>
      <c r="H12" s="7"/>
      <c r="I12" s="59" t="s">
        <v>126</v>
      </c>
      <c r="J12" s="60" t="s">
        <v>143</v>
      </c>
      <c r="K12" s="60" t="s">
        <v>144</v>
      </c>
      <c r="L12" s="7"/>
      <c r="M12" s="7"/>
      <c r="N12" s="7"/>
      <c r="O12" s="7"/>
      <c r="P12" s="7"/>
    </row>
    <row r="13" spans="1:16" ht="22" customHeight="1" thickBot="1">
      <c r="A13" s="61" t="s">
        <v>15</v>
      </c>
      <c r="B13" s="109">
        <f>G28</f>
        <v>0</v>
      </c>
      <c r="C13" s="109">
        <f t="shared" ref="C13:C20" si="0">B13*$C$12</f>
        <v>0</v>
      </c>
      <c r="D13" s="109">
        <f t="shared" ref="D13:D20" si="1">B13+(B13*$C$12)</f>
        <v>0</v>
      </c>
      <c r="E13" s="7"/>
      <c r="F13" s="667"/>
      <c r="G13" s="668"/>
      <c r="I13" s="3"/>
      <c r="J13" s="4"/>
      <c r="K13" s="5"/>
    </row>
    <row r="14" spans="1:16" s="6" customFormat="1" ht="20" customHeight="1">
      <c r="A14" s="62" t="s">
        <v>16</v>
      </c>
      <c r="B14" s="110">
        <f>J49</f>
        <v>0</v>
      </c>
      <c r="C14" s="110">
        <f t="shared" si="0"/>
        <v>0</v>
      </c>
      <c r="D14" s="110">
        <f t="shared" si="1"/>
        <v>0</v>
      </c>
      <c r="E14" s="7"/>
      <c r="F14" s="271" t="str">
        <f t="shared" ref="F14:F19" si="2">A14</f>
        <v>2.FOOD</v>
      </c>
      <c r="G14" s="261">
        <f>G49</f>
        <v>0</v>
      </c>
      <c r="H14" s="7"/>
      <c r="I14" s="3"/>
      <c r="J14" s="4"/>
      <c r="K14" s="5"/>
      <c r="L14" s="7"/>
      <c r="M14" s="7"/>
      <c r="N14" s="7"/>
      <c r="O14" s="7"/>
      <c r="P14" s="7"/>
    </row>
    <row r="15" spans="1:16" s="6" customFormat="1" ht="20" customHeight="1">
      <c r="A15" s="63" t="s">
        <v>17</v>
      </c>
      <c r="B15" s="111">
        <f>E59</f>
        <v>0</v>
      </c>
      <c r="C15" s="111">
        <f t="shared" si="0"/>
        <v>0</v>
      </c>
      <c r="D15" s="111">
        <f t="shared" si="1"/>
        <v>0</v>
      </c>
      <c r="E15" s="7"/>
      <c r="F15" s="272" t="str">
        <f t="shared" si="2"/>
        <v>3.DRINKS</v>
      </c>
      <c r="G15" s="262">
        <f>G59</f>
        <v>0</v>
      </c>
      <c r="H15" s="7"/>
      <c r="I15" s="3"/>
      <c r="J15" s="4"/>
      <c r="K15" s="5"/>
      <c r="L15" s="7"/>
      <c r="M15" s="7"/>
      <c r="N15" s="7"/>
      <c r="O15" s="7"/>
      <c r="P15" s="7"/>
    </row>
    <row r="16" spans="1:16" s="6" customFormat="1" ht="20" customHeight="1">
      <c r="A16" s="55" t="s">
        <v>18</v>
      </c>
      <c r="B16" s="112">
        <f>$E$72</f>
        <v>0</v>
      </c>
      <c r="C16" s="112">
        <f t="shared" si="0"/>
        <v>0</v>
      </c>
      <c r="D16" s="112">
        <f t="shared" si="1"/>
        <v>0</v>
      </c>
      <c r="E16" s="7"/>
      <c r="F16" s="273" t="str">
        <f t="shared" si="2"/>
        <v>4. ACTIVITIES</v>
      </c>
      <c r="G16" s="263">
        <f>G72</f>
        <v>0</v>
      </c>
      <c r="H16" s="7"/>
      <c r="I16" s="3"/>
      <c r="J16" s="4"/>
      <c r="K16" s="5"/>
      <c r="L16" s="7"/>
      <c r="M16" s="7"/>
      <c r="N16" s="7"/>
      <c r="O16" s="7"/>
      <c r="P16" s="7"/>
    </row>
    <row r="17" spans="1:16" s="6" customFormat="1" ht="20" customHeight="1">
      <c r="A17" s="63" t="s">
        <v>19</v>
      </c>
      <c r="B17" s="111">
        <f>$E$80</f>
        <v>0</v>
      </c>
      <c r="C17" s="111">
        <f t="shared" si="0"/>
        <v>0</v>
      </c>
      <c r="D17" s="111">
        <f t="shared" si="1"/>
        <v>0</v>
      </c>
      <c r="E17" s="7"/>
      <c r="F17" s="274" t="str">
        <f t="shared" si="2"/>
        <v>5.TRANSPORT</v>
      </c>
      <c r="G17" s="174">
        <f>G80</f>
        <v>0</v>
      </c>
      <c r="H17" s="7"/>
      <c r="I17" s="3"/>
      <c r="J17" s="4"/>
      <c r="K17" s="5"/>
      <c r="L17" s="7"/>
      <c r="M17" s="7"/>
      <c r="N17" s="7"/>
      <c r="O17" s="7"/>
      <c r="P17" s="7"/>
    </row>
    <row r="18" spans="1:16" s="6" customFormat="1" ht="20" customHeight="1">
      <c r="A18" s="64" t="s">
        <v>20</v>
      </c>
      <c r="B18" s="113">
        <f>$E$86</f>
        <v>0</v>
      </c>
      <c r="C18" s="113">
        <f t="shared" si="0"/>
        <v>0</v>
      </c>
      <c r="D18" s="113">
        <f t="shared" si="1"/>
        <v>0</v>
      </c>
      <c r="E18" s="10"/>
      <c r="F18" s="275" t="str">
        <f t="shared" si="2"/>
        <v>6.EXPERIENCES</v>
      </c>
      <c r="G18" s="264">
        <f>G86</f>
        <v>0</v>
      </c>
      <c r="H18" s="7"/>
      <c r="I18" s="3"/>
      <c r="J18" s="4"/>
      <c r="K18" s="5"/>
      <c r="L18" s="7"/>
      <c r="M18" s="7"/>
      <c r="N18" s="7"/>
      <c r="O18" s="7"/>
      <c r="P18" s="7"/>
    </row>
    <row r="19" spans="1:16" s="6" customFormat="1" ht="20" customHeight="1">
      <c r="A19" s="65" t="s">
        <v>21</v>
      </c>
      <c r="B19" s="114">
        <f>$E$95</f>
        <v>0</v>
      </c>
      <c r="C19" s="114">
        <f t="shared" si="0"/>
        <v>0</v>
      </c>
      <c r="D19" s="114">
        <f t="shared" si="1"/>
        <v>0</v>
      </c>
      <c r="E19" s="7"/>
      <c r="F19" s="276" t="str">
        <f t="shared" si="2"/>
        <v>7.EXTRAS</v>
      </c>
      <c r="G19" s="151">
        <f>G95</f>
        <v>0</v>
      </c>
      <c r="H19" s="7"/>
      <c r="I19" s="3"/>
      <c r="J19" s="4"/>
      <c r="K19" s="5"/>
      <c r="L19" s="7"/>
      <c r="M19" s="7"/>
      <c r="N19" s="7"/>
      <c r="O19" s="7"/>
      <c r="P19" s="7"/>
    </row>
    <row r="20" spans="1:16" s="6" customFormat="1" ht="20" customHeight="1" thickBot="1">
      <c r="A20" s="66" t="s">
        <v>22</v>
      </c>
      <c r="B20" s="115">
        <f>$E$99</f>
        <v>0</v>
      </c>
      <c r="C20" s="115">
        <f t="shared" si="0"/>
        <v>0</v>
      </c>
      <c r="D20" s="115">
        <f t="shared" si="1"/>
        <v>0</v>
      </c>
      <c r="E20" s="7"/>
      <c r="F20" s="676" t="s">
        <v>145</v>
      </c>
      <c r="G20" s="669">
        <f>G14+G15+G16+G17+G18+G19</f>
        <v>0</v>
      </c>
      <c r="H20" s="7"/>
      <c r="I20" s="3"/>
      <c r="J20" s="4"/>
      <c r="K20" s="5"/>
      <c r="L20" s="7"/>
      <c r="M20" s="7"/>
      <c r="N20" s="7"/>
      <c r="O20" s="7"/>
      <c r="P20" s="7"/>
    </row>
    <row r="21" spans="1:16" ht="35" customHeight="1" thickBot="1">
      <c r="A21" s="67" t="s">
        <v>146</v>
      </c>
      <c r="B21" s="116">
        <f>SUM(B13:B20)</f>
        <v>0</v>
      </c>
      <c r="C21" s="116"/>
      <c r="D21" s="116">
        <f>SUM(D13:D20)</f>
        <v>0</v>
      </c>
      <c r="E21" s="51"/>
      <c r="F21" s="670"/>
      <c r="G21" s="670"/>
    </row>
    <row r="22" spans="1:16" s="8" customFormat="1" ht="11" customHeight="1" thickBot="1">
      <c r="A22" s="16"/>
      <c r="B22" s="56"/>
      <c r="C22" s="6"/>
      <c r="D22" s="7"/>
      <c r="E22" s="7"/>
      <c r="F22" s="7"/>
      <c r="G22" s="17"/>
      <c r="H22" s="7"/>
      <c r="I22" s="7"/>
      <c r="J22" s="7"/>
      <c r="K22" s="7"/>
      <c r="L22" s="7"/>
      <c r="M22" s="7"/>
      <c r="N22" s="7"/>
      <c r="O22" s="7"/>
      <c r="P22" s="7"/>
    </row>
    <row r="23" spans="1:16" ht="44" customHeight="1" thickBot="1">
      <c r="A23" s="68" t="s">
        <v>114</v>
      </c>
      <c r="B23" s="69" t="s">
        <v>52</v>
      </c>
      <c r="C23" s="69" t="s">
        <v>147</v>
      </c>
      <c r="D23" s="69" t="s">
        <v>148</v>
      </c>
      <c r="E23" s="70" t="s">
        <v>149</v>
      </c>
      <c r="F23" s="70" t="s">
        <v>150</v>
      </c>
      <c r="G23" s="70" t="s">
        <v>151</v>
      </c>
    </row>
    <row r="24" spans="1:16" ht="20" customHeight="1">
      <c r="A24" s="71" t="s">
        <v>152</v>
      </c>
      <c r="B24" s="93">
        <v>1</v>
      </c>
      <c r="C24" s="117">
        <f>249200</f>
        <v>249200</v>
      </c>
      <c r="D24" s="118"/>
      <c r="E24" s="119">
        <f>(C24+D24)*$B$9*B24</f>
        <v>0</v>
      </c>
      <c r="F24" s="2">
        <v>0</v>
      </c>
      <c r="G24" s="119">
        <f>E24-(E24*F24)</f>
        <v>0</v>
      </c>
    </row>
    <row r="25" spans="1:16" ht="20" customHeight="1">
      <c r="A25" s="71" t="s">
        <v>153</v>
      </c>
      <c r="B25" s="93">
        <v>0</v>
      </c>
      <c r="C25" s="117">
        <f>249200</f>
        <v>249200</v>
      </c>
      <c r="D25" s="118">
        <v>50000</v>
      </c>
      <c r="E25" s="119">
        <f>(C25+D25)*$B$9*B25</f>
        <v>0</v>
      </c>
      <c r="F25" s="2">
        <v>0</v>
      </c>
      <c r="G25" s="119">
        <f>E25-(E25*F25)</f>
        <v>0</v>
      </c>
    </row>
    <row r="26" spans="1:16" ht="20" customHeight="1">
      <c r="A26" s="71" t="s">
        <v>154</v>
      </c>
      <c r="B26" s="93">
        <v>0</v>
      </c>
      <c r="C26" s="117">
        <f>224280</f>
        <v>224280</v>
      </c>
      <c r="D26" s="118"/>
      <c r="E26" s="119">
        <f>(C26+D26)*$B$9*B26</f>
        <v>0</v>
      </c>
      <c r="F26" s="2">
        <v>0</v>
      </c>
      <c r="G26" s="119">
        <f>E26-(E26*F26)</f>
        <v>0</v>
      </c>
    </row>
    <row r="27" spans="1:16" ht="20" customHeight="1" thickBot="1">
      <c r="A27" s="71" t="s">
        <v>155</v>
      </c>
      <c r="B27" s="93">
        <v>0</v>
      </c>
      <c r="C27" s="117">
        <f>224280</f>
        <v>224280</v>
      </c>
      <c r="D27" s="118">
        <v>50000</v>
      </c>
      <c r="E27" s="119">
        <f>(C27+D27)*$B$9*B27</f>
        <v>0</v>
      </c>
      <c r="F27" s="2">
        <v>0</v>
      </c>
      <c r="G27" s="119">
        <f>E27-(E27*F27)</f>
        <v>0</v>
      </c>
    </row>
    <row r="28" spans="1:16" ht="29" customHeight="1" thickBot="1">
      <c r="A28" s="672" t="s">
        <v>156</v>
      </c>
      <c r="B28" s="673"/>
      <c r="C28" s="673"/>
      <c r="D28" s="673"/>
      <c r="E28" s="72"/>
      <c r="F28" s="73"/>
      <c r="G28" s="120">
        <f>SUM(G24:G27)</f>
        <v>0</v>
      </c>
    </row>
    <row r="29" spans="1:16" s="8" customFormat="1" ht="11" customHeight="1" thickBot="1">
      <c r="A29" s="16"/>
      <c r="B29" s="56"/>
      <c r="C29" s="6"/>
      <c r="D29" s="7"/>
      <c r="E29" s="7"/>
      <c r="F29" s="7"/>
      <c r="G29" s="17"/>
      <c r="H29" s="7"/>
      <c r="I29" s="286"/>
      <c r="J29" s="7"/>
      <c r="K29" s="7"/>
      <c r="L29" s="7"/>
      <c r="M29" s="7"/>
      <c r="N29" s="7"/>
      <c r="O29" s="7"/>
      <c r="P29" s="7"/>
    </row>
    <row r="30" spans="1:16" s="10" customFormat="1" ht="40" customHeight="1" thickBot="1">
      <c r="A30" s="18" t="s">
        <v>51</v>
      </c>
      <c r="B30" s="159" t="s">
        <v>52</v>
      </c>
      <c r="C30" s="160" t="s">
        <v>53</v>
      </c>
      <c r="D30" s="153" t="s">
        <v>54</v>
      </c>
      <c r="E30" s="149" t="s">
        <v>157</v>
      </c>
      <c r="F30" s="103" t="s">
        <v>158</v>
      </c>
      <c r="G30" s="147" t="s">
        <v>159</v>
      </c>
      <c r="I30" s="286"/>
    </row>
    <row r="31" spans="1:16" ht="20" customHeight="1" thickBot="1">
      <c r="A31" s="154" t="str">
        <f>'BASE PAX'!A6</f>
        <v>BREAKFAST</v>
      </c>
      <c r="B31" s="285">
        <f>(B5*B9*'BASE PAX'!G6)+('BASE PAX'!H6*B6*B9)</f>
        <v>0</v>
      </c>
      <c r="C31" s="121"/>
      <c r="D31" s="144"/>
      <c r="E31" s="283">
        <v>0</v>
      </c>
      <c r="F31" s="122">
        <f t="shared" ref="F31:F46" si="3">B31*C31</f>
        <v>0</v>
      </c>
      <c r="G31" s="325">
        <f>0.2*B31</f>
        <v>0</v>
      </c>
      <c r="H31" s="351" t="str">
        <f>A31</f>
        <v>BREAKFAST</v>
      </c>
      <c r="I31" s="353">
        <f>B31</f>
        <v>0</v>
      </c>
    </row>
    <row r="32" spans="1:16" ht="20" customHeight="1">
      <c r="A32" s="155" t="str">
        <f>'BASE PAX'!A7</f>
        <v>LUNCH 1</v>
      </c>
      <c r="B32" s="74">
        <f>($B$5+$B$6)*'BASE PAX'!B7</f>
        <v>0</v>
      </c>
      <c r="C32" s="123">
        <f>'BASE PAX'!C7</f>
        <v>40000</v>
      </c>
      <c r="D32" s="125">
        <f>'BASE PAX'!D7</f>
        <v>48000</v>
      </c>
      <c r="E32" s="151">
        <f t="shared" ref="E32:E46" si="4">D32*B32</f>
        <v>0</v>
      </c>
      <c r="F32" s="124">
        <f t="shared" si="3"/>
        <v>0</v>
      </c>
      <c r="G32" s="146">
        <f t="shared" ref="G32:G46" si="5">E32-F32</f>
        <v>0</v>
      </c>
      <c r="I32" s="290"/>
    </row>
    <row r="33" spans="1:11" ht="20" customHeight="1">
      <c r="A33" s="155" t="str">
        <f>'BASE PAX'!A8</f>
        <v>LUNCH 2</v>
      </c>
      <c r="B33" s="74">
        <f>($B$5+$B$6)*'BASE PAX'!B8</f>
        <v>0</v>
      </c>
      <c r="C33" s="123">
        <f>'BASE PAX'!C8</f>
        <v>40000</v>
      </c>
      <c r="D33" s="125">
        <f>'BASE PAX'!D8</f>
        <v>48000</v>
      </c>
      <c r="E33" s="151">
        <f t="shared" si="4"/>
        <v>0</v>
      </c>
      <c r="F33" s="124">
        <f t="shared" si="3"/>
        <v>0</v>
      </c>
      <c r="G33" s="146">
        <f t="shared" si="5"/>
        <v>0</v>
      </c>
      <c r="I33" s="290"/>
    </row>
    <row r="34" spans="1:11" ht="20" customHeight="1">
      <c r="A34" s="155" t="str">
        <f>'BASE PAX'!A9</f>
        <v>LUNCH 3</v>
      </c>
      <c r="B34" s="74">
        <f>($B$5+$B$6)*'BASE PAX'!B9</f>
        <v>0</v>
      </c>
      <c r="C34" s="123">
        <f>'BASE PAX'!C9</f>
        <v>40000</v>
      </c>
      <c r="D34" s="125">
        <f>'BASE PAX'!D9</f>
        <v>48000</v>
      </c>
      <c r="E34" s="151">
        <f t="shared" si="4"/>
        <v>0</v>
      </c>
      <c r="F34" s="124">
        <f t="shared" si="3"/>
        <v>0</v>
      </c>
      <c r="G34" s="146">
        <f t="shared" si="5"/>
        <v>0</v>
      </c>
      <c r="I34" s="290"/>
    </row>
    <row r="35" spans="1:11" ht="20" customHeight="1">
      <c r="A35" s="155" t="str">
        <f>'BASE PAX'!A10</f>
        <v>LUNCH 4</v>
      </c>
      <c r="B35" s="74">
        <f>($B$5+$B$6)*'BASE PAX'!B10</f>
        <v>0</v>
      </c>
      <c r="C35" s="123">
        <f>'BASE PAX'!C10</f>
        <v>45000</v>
      </c>
      <c r="D35" s="125">
        <f>'BASE PAX'!D10</f>
        <v>54000</v>
      </c>
      <c r="E35" s="151">
        <f t="shared" si="4"/>
        <v>0</v>
      </c>
      <c r="F35" s="124">
        <f t="shared" si="3"/>
        <v>0</v>
      </c>
      <c r="G35" s="146">
        <f t="shared" si="5"/>
        <v>0</v>
      </c>
      <c r="I35" s="290"/>
    </row>
    <row r="36" spans="1:11" ht="20" customHeight="1">
      <c r="A36" s="155" t="str">
        <f>'BASE PAX'!A11</f>
        <v>LUNCH 5</v>
      </c>
      <c r="B36" s="74">
        <f>($B$5+($B$6*0.6))*'BASE PAX'!B11</f>
        <v>0</v>
      </c>
      <c r="C36" s="123">
        <f>'BASE PAX'!C11</f>
        <v>50000</v>
      </c>
      <c r="D36" s="125">
        <f>'BASE PAX'!D11</f>
        <v>60000</v>
      </c>
      <c r="E36" s="151">
        <f t="shared" si="4"/>
        <v>0</v>
      </c>
      <c r="F36" s="124">
        <f t="shared" si="3"/>
        <v>0</v>
      </c>
      <c r="G36" s="146">
        <f t="shared" si="5"/>
        <v>0</v>
      </c>
      <c r="I36" s="290"/>
    </row>
    <row r="37" spans="1:11" ht="20" customHeight="1">
      <c r="A37" s="155" t="str">
        <f>'BASE PAX'!A12</f>
        <v>LUNCH 6</v>
      </c>
      <c r="B37" s="74">
        <f>($B$5+$B$6)*'BASE PAX'!B12</f>
        <v>0</v>
      </c>
      <c r="C37" s="123">
        <f>'BASE PAX'!C12</f>
        <v>0</v>
      </c>
      <c r="D37" s="125">
        <f>'BASE PAX'!D12</f>
        <v>0</v>
      </c>
      <c r="E37" s="151">
        <f t="shared" si="4"/>
        <v>0</v>
      </c>
      <c r="F37" s="124">
        <f t="shared" si="3"/>
        <v>0</v>
      </c>
      <c r="G37" s="146">
        <f t="shared" si="5"/>
        <v>0</v>
      </c>
      <c r="I37" s="290"/>
    </row>
    <row r="38" spans="1:11" ht="20" customHeight="1">
      <c r="A38" s="155" t="str">
        <f>'BASE PAX'!A13</f>
        <v>LUNCH 7</v>
      </c>
      <c r="B38" s="74">
        <f>($B$5+$B$6)*'BASE PAX'!B13</f>
        <v>0</v>
      </c>
      <c r="C38" s="123">
        <f>'BASE PAX'!C13</f>
        <v>5000</v>
      </c>
      <c r="D38" s="125">
        <f>'BASE PAX'!D13</f>
        <v>6000</v>
      </c>
      <c r="E38" s="151">
        <f t="shared" si="4"/>
        <v>0</v>
      </c>
      <c r="F38" s="124">
        <f t="shared" si="3"/>
        <v>0</v>
      </c>
      <c r="G38" s="146">
        <f t="shared" si="5"/>
        <v>0</v>
      </c>
      <c r="I38" s="290"/>
    </row>
    <row r="39" spans="1:11" ht="20" customHeight="1">
      <c r="A39" s="156" t="str">
        <f>'BASE PAX'!A14</f>
        <v>SNACKS</v>
      </c>
      <c r="B39" s="74">
        <f>($B$5+$B$6)*'BASE PAX'!B14</f>
        <v>0</v>
      </c>
      <c r="C39" s="125">
        <f>'BASE PAX'!C14</f>
        <v>8000</v>
      </c>
      <c r="D39" s="145">
        <f>'BASE PAX'!D14</f>
        <v>9600</v>
      </c>
      <c r="E39" s="150">
        <f t="shared" si="4"/>
        <v>0</v>
      </c>
      <c r="F39" s="122">
        <f t="shared" si="3"/>
        <v>0</v>
      </c>
      <c r="G39" s="146">
        <f t="shared" si="5"/>
        <v>0</v>
      </c>
      <c r="I39" s="290"/>
    </row>
    <row r="40" spans="1:11" ht="20" customHeight="1">
      <c r="A40" s="155" t="str">
        <f>'BASE PAX'!A15</f>
        <v>DINNER 1</v>
      </c>
      <c r="B40" s="74">
        <f>($B$5+($B$6*0.6))*'BASE PAX'!B15</f>
        <v>0</v>
      </c>
      <c r="C40" s="123">
        <f>'BASE PAX'!C15</f>
        <v>70000</v>
      </c>
      <c r="D40" s="125">
        <f>'BASE PAX'!D15</f>
        <v>84000</v>
      </c>
      <c r="E40" s="151">
        <f t="shared" si="4"/>
        <v>0</v>
      </c>
      <c r="F40" s="124">
        <f t="shared" si="3"/>
        <v>0</v>
      </c>
      <c r="G40" s="146">
        <f t="shared" si="5"/>
        <v>0</v>
      </c>
      <c r="H40" s="287"/>
      <c r="I40" s="291"/>
    </row>
    <row r="41" spans="1:11" ht="20" customHeight="1">
      <c r="A41" s="155" t="str">
        <f>'BASE PAX'!A16</f>
        <v>DINNER 2</v>
      </c>
      <c r="B41" s="74">
        <f>($B$5+($B$6*0.6))*'BASE PAX'!B16</f>
        <v>0</v>
      </c>
      <c r="C41" s="123">
        <f>'BASE PAX'!C16</f>
        <v>25000</v>
      </c>
      <c r="D41" s="125">
        <f>'BASE PAX'!D16</f>
        <v>30000</v>
      </c>
      <c r="E41" s="151">
        <f t="shared" si="4"/>
        <v>0</v>
      </c>
      <c r="F41" s="124">
        <f t="shared" si="3"/>
        <v>0</v>
      </c>
      <c r="G41" s="146">
        <f t="shared" si="5"/>
        <v>0</v>
      </c>
      <c r="I41" s="290"/>
    </row>
    <row r="42" spans="1:11" ht="20" customHeight="1">
      <c r="A42" s="155" t="str">
        <f>'BASE PAX'!A17</f>
        <v>DINNER 3</v>
      </c>
      <c r="B42" s="74">
        <f>($B$5+($B$6*0.6))*'BASE PAX'!B17</f>
        <v>0</v>
      </c>
      <c r="C42" s="123">
        <f>'BASE PAX'!C17</f>
        <v>50000</v>
      </c>
      <c r="D42" s="125">
        <f>'BASE PAX'!D17</f>
        <v>60000</v>
      </c>
      <c r="E42" s="151">
        <f t="shared" si="4"/>
        <v>0</v>
      </c>
      <c r="F42" s="124">
        <f t="shared" si="3"/>
        <v>0</v>
      </c>
      <c r="G42" s="146">
        <f t="shared" si="5"/>
        <v>0</v>
      </c>
      <c r="I42" s="290"/>
    </row>
    <row r="43" spans="1:11" ht="20" customHeight="1">
      <c r="A43" s="155" t="str">
        <f>'BASE PAX'!A18</f>
        <v>DINNER 4</v>
      </c>
      <c r="B43" s="74">
        <f>($B$5+$B$6)*'BASE PAX'!B18</f>
        <v>0</v>
      </c>
      <c r="C43" s="123">
        <f>'BASE PAX'!C18</f>
        <v>65000</v>
      </c>
      <c r="D43" s="125">
        <f>'BASE PAX'!D18</f>
        <v>78000</v>
      </c>
      <c r="E43" s="151">
        <f t="shared" si="4"/>
        <v>0</v>
      </c>
      <c r="F43" s="124">
        <f t="shared" si="3"/>
        <v>0</v>
      </c>
      <c r="G43" s="146">
        <f t="shared" si="5"/>
        <v>0</v>
      </c>
      <c r="I43" s="9"/>
    </row>
    <row r="44" spans="1:11" ht="20" customHeight="1">
      <c r="A44" s="155" t="str">
        <f>'BASE PAX'!A19</f>
        <v>DINNER 5</v>
      </c>
      <c r="B44" s="74">
        <f>($B$5+($B$6*0.6))*'BASE PAX'!B19</f>
        <v>0</v>
      </c>
      <c r="C44" s="123">
        <f>'BASE PAX'!C19</f>
        <v>75000</v>
      </c>
      <c r="D44" s="125">
        <f>'BASE PAX'!D19</f>
        <v>90000</v>
      </c>
      <c r="E44" s="151">
        <f t="shared" si="4"/>
        <v>0</v>
      </c>
      <c r="F44" s="124">
        <f t="shared" si="3"/>
        <v>0</v>
      </c>
      <c r="G44" s="146">
        <f t="shared" si="5"/>
        <v>0</v>
      </c>
      <c r="I44" s="9"/>
    </row>
    <row r="45" spans="1:11" ht="20" customHeight="1">
      <c r="A45" s="155" t="str">
        <f>'BASE PAX'!A20</f>
        <v>DINNER 6</v>
      </c>
      <c r="B45" s="74">
        <f>($B$5+$B$6)*'BASE PAX'!B20</f>
        <v>0</v>
      </c>
      <c r="C45" s="123">
        <f>'BASE PAX'!C20</f>
        <v>0</v>
      </c>
      <c r="D45" s="125">
        <f>'BASE PAX'!D20</f>
        <v>0</v>
      </c>
      <c r="E45" s="151">
        <f t="shared" si="4"/>
        <v>0</v>
      </c>
      <c r="F45" s="124">
        <f t="shared" si="3"/>
        <v>0</v>
      </c>
      <c r="G45" s="146">
        <f t="shared" si="5"/>
        <v>0</v>
      </c>
      <c r="I45" s="9"/>
    </row>
    <row r="46" spans="1:11" ht="20" customHeight="1" thickBot="1">
      <c r="A46" s="155" t="str">
        <f>'BASE PAX'!A21</f>
        <v>DINNER 7</v>
      </c>
      <c r="B46" s="74">
        <f>($B$5+($B$6*0.6))*'BASE PAX'!B21</f>
        <v>0</v>
      </c>
      <c r="C46" s="123">
        <f>'BASE PAX'!C21</f>
        <v>75000</v>
      </c>
      <c r="D46" s="125">
        <f>'BASE PAX'!D21</f>
        <v>90000</v>
      </c>
      <c r="E46" s="151">
        <f t="shared" si="4"/>
        <v>0</v>
      </c>
      <c r="F46" s="124">
        <f t="shared" si="3"/>
        <v>0</v>
      </c>
      <c r="G46" s="146">
        <f t="shared" si="5"/>
        <v>0</v>
      </c>
      <c r="I46" s="10"/>
    </row>
    <row r="47" spans="1:11" ht="20" customHeight="1">
      <c r="A47" s="155" t="str">
        <f>'BASE PAX'!A22</f>
        <v>QUANT. TOTAL | PADRAO ALMOÇO</v>
      </c>
      <c r="B47" s="74">
        <f>'BASE PAX'!B22</f>
        <v>0</v>
      </c>
      <c r="C47" s="123"/>
      <c r="D47" s="125"/>
      <c r="E47" s="151"/>
      <c r="F47" s="124"/>
      <c r="G47" s="325">
        <f>0.2*I47</f>
        <v>0</v>
      </c>
      <c r="H47" s="338" t="str">
        <f>A47</f>
        <v>QUANT. TOTAL | PADRAO ALMOÇO</v>
      </c>
      <c r="I47" s="349">
        <f>(B5*B47*'BASE PAX'!G22)+(B6*B47*'BASE PAX'!H22)</f>
        <v>0</v>
      </c>
      <c r="J47" s="328"/>
      <c r="K47" s="329"/>
    </row>
    <row r="48" spans="1:11" ht="20" customHeight="1" thickBot="1">
      <c r="A48" s="163" t="str">
        <f>'BASE PAX'!A23</f>
        <v>QUANT. TOTAL | PADRAO JANTAR</v>
      </c>
      <c r="B48" s="164">
        <f>'BASE PAX'!B23</f>
        <v>0</v>
      </c>
      <c r="C48" s="165"/>
      <c r="D48" s="166"/>
      <c r="E48" s="167"/>
      <c r="F48" s="168"/>
      <c r="G48" s="326">
        <f>0.2*I48</f>
        <v>0</v>
      </c>
      <c r="H48" s="347" t="str">
        <f>A48</f>
        <v>QUANT. TOTAL | PADRAO JANTAR</v>
      </c>
      <c r="I48" s="335">
        <f>(B5*B48*'BASE PAX'!G23)+(B6*B48*'BASE PAX'!H23)</f>
        <v>0</v>
      </c>
      <c r="J48" s="330"/>
      <c r="K48" s="331"/>
    </row>
    <row r="49" spans="1:16" ht="29" customHeight="1" thickBot="1">
      <c r="A49" s="161" t="s">
        <v>72</v>
      </c>
      <c r="B49" s="157"/>
      <c r="C49" s="158"/>
      <c r="D49" s="303"/>
      <c r="E49" s="104">
        <f>SUM(E31:E48)</f>
        <v>0</v>
      </c>
      <c r="F49" s="104">
        <f>SUM(F31:F48)</f>
        <v>0</v>
      </c>
      <c r="G49" s="327">
        <f>SUM(G31:G48)</f>
        <v>0</v>
      </c>
      <c r="H49" s="341" t="s">
        <v>55</v>
      </c>
      <c r="I49" s="342">
        <f>I31+I47+I48</f>
        <v>0</v>
      </c>
      <c r="J49" s="358">
        <f>I49+E49</f>
        <v>0</v>
      </c>
      <c r="K49" s="332" t="s">
        <v>160</v>
      </c>
    </row>
    <row r="50" spans="1:16" s="8" customFormat="1" ht="11" customHeight="1" thickBot="1">
      <c r="A50" s="16"/>
      <c r="B50" s="56"/>
      <c r="C50" s="105"/>
      <c r="D50" s="102"/>
      <c r="E50" s="102"/>
      <c r="F50" s="7"/>
      <c r="G50" s="17"/>
      <c r="H50" s="7"/>
      <c r="I50" s="7"/>
      <c r="J50" s="7"/>
      <c r="K50" s="7"/>
      <c r="L50" s="7"/>
      <c r="M50" s="7"/>
      <c r="N50" s="7"/>
      <c r="O50" s="7"/>
      <c r="P50" s="7"/>
    </row>
    <row r="51" spans="1:16" ht="34" customHeight="1" thickBot="1">
      <c r="A51" s="21" t="s">
        <v>161</v>
      </c>
      <c r="B51" s="207" t="s">
        <v>52</v>
      </c>
      <c r="C51" s="208" t="s">
        <v>53</v>
      </c>
      <c r="D51" s="209" t="s">
        <v>54</v>
      </c>
      <c r="E51" s="172" t="s">
        <v>55</v>
      </c>
      <c r="F51" s="142" t="s">
        <v>158</v>
      </c>
      <c r="G51" s="182" t="s">
        <v>159</v>
      </c>
    </row>
    <row r="52" spans="1:16" ht="20" customHeight="1">
      <c r="A52" s="76" t="str">
        <f>'BASE PAX'!A27</f>
        <v>SUCOS</v>
      </c>
      <c r="B52" s="205">
        <f>'BASE PAX'!B27</f>
        <v>0</v>
      </c>
      <c r="C52" s="193">
        <f>'BASE PAX'!C27</f>
        <v>0</v>
      </c>
      <c r="D52" s="206">
        <f t="shared" ref="D52:D58" si="6">(C52*0.2)+C52</f>
        <v>0</v>
      </c>
      <c r="E52" s="174">
        <f t="shared" ref="E52:E58" si="7">D52*B52</f>
        <v>0</v>
      </c>
      <c r="F52" s="173">
        <f t="shared" ref="F52:F58" si="8">B52*C52</f>
        <v>0</v>
      </c>
      <c r="G52" s="183">
        <f t="shared" ref="G52:G59" si="9">E52-F52</f>
        <v>0</v>
      </c>
    </row>
    <row r="53" spans="1:16" ht="20" customHeight="1">
      <c r="A53" s="76" t="str">
        <f>'BASE PAX'!A28</f>
        <v>SUCOS</v>
      </c>
      <c r="B53" s="205">
        <f>'BASE PAX'!B28</f>
        <v>0</v>
      </c>
      <c r="C53" s="175">
        <f>'BASE PAX'!C28</f>
        <v>0</v>
      </c>
      <c r="D53" s="176">
        <f t="shared" si="6"/>
        <v>0</v>
      </c>
      <c r="E53" s="174">
        <f t="shared" si="7"/>
        <v>0</v>
      </c>
      <c r="F53" s="173">
        <f t="shared" si="8"/>
        <v>0</v>
      </c>
      <c r="G53" s="183">
        <f t="shared" si="9"/>
        <v>0</v>
      </c>
    </row>
    <row r="54" spans="1:16" ht="20" customHeight="1">
      <c r="A54" s="87" t="str">
        <f>'BASE PAX'!A29</f>
        <v>CERVEJAS</v>
      </c>
      <c r="B54" s="205">
        <f>'BASE PAX'!B29</f>
        <v>0</v>
      </c>
      <c r="C54" s="175">
        <f>'BASE PAX'!C29</f>
        <v>2000</v>
      </c>
      <c r="D54" s="176">
        <f t="shared" si="6"/>
        <v>2400</v>
      </c>
      <c r="E54" s="174">
        <f t="shared" si="7"/>
        <v>0</v>
      </c>
      <c r="F54" s="173">
        <f t="shared" si="8"/>
        <v>0</v>
      </c>
      <c r="G54" s="183">
        <f t="shared" si="9"/>
        <v>0</v>
      </c>
    </row>
    <row r="55" spans="1:16" ht="20" customHeight="1">
      <c r="A55" s="87" t="str">
        <f>'BASE PAX'!A30</f>
        <v>VINHOS</v>
      </c>
      <c r="B55" s="205">
        <f>'BASE PAX'!B30</f>
        <v>0</v>
      </c>
      <c r="C55" s="175">
        <f>'BASE PAX'!C30</f>
        <v>8000</v>
      </c>
      <c r="D55" s="176">
        <f t="shared" si="6"/>
        <v>9600</v>
      </c>
      <c r="E55" s="174">
        <f t="shared" si="7"/>
        <v>0</v>
      </c>
      <c r="F55" s="173">
        <f t="shared" si="8"/>
        <v>0</v>
      </c>
      <c r="G55" s="183">
        <f t="shared" si="9"/>
        <v>0</v>
      </c>
    </row>
    <row r="56" spans="1:16" ht="20" customHeight="1">
      <c r="A56" s="87" t="str">
        <f>'BASE PAX'!A31</f>
        <v>DRINKS</v>
      </c>
      <c r="B56" s="205">
        <f>'BASE PAX'!B31</f>
        <v>0</v>
      </c>
      <c r="C56" s="175">
        <f>'BASE PAX'!C31</f>
        <v>15000</v>
      </c>
      <c r="D56" s="176">
        <f t="shared" si="6"/>
        <v>18000</v>
      </c>
      <c r="E56" s="174">
        <f t="shared" si="7"/>
        <v>0</v>
      </c>
      <c r="F56" s="173">
        <f t="shared" si="8"/>
        <v>0</v>
      </c>
      <c r="G56" s="183">
        <f t="shared" si="9"/>
        <v>0</v>
      </c>
    </row>
    <row r="57" spans="1:16" ht="20" customHeight="1">
      <c r="A57" s="87" t="str">
        <f>'BASE PAX'!A32</f>
        <v>COOLER</v>
      </c>
      <c r="B57" s="205">
        <f>'BASE PAX'!B32</f>
        <v>0</v>
      </c>
      <c r="C57" s="175">
        <f>'BASE PAX'!C32</f>
        <v>5000</v>
      </c>
      <c r="D57" s="176">
        <f t="shared" si="6"/>
        <v>6000</v>
      </c>
      <c r="E57" s="174">
        <f t="shared" si="7"/>
        <v>0</v>
      </c>
      <c r="F57" s="173">
        <f t="shared" si="8"/>
        <v>0</v>
      </c>
      <c r="G57" s="183">
        <f t="shared" si="9"/>
        <v>0</v>
      </c>
    </row>
    <row r="58" spans="1:16" ht="20" customHeight="1" thickBot="1">
      <c r="A58" s="180">
        <f>'BASE PAX'!A33</f>
        <v>0</v>
      </c>
      <c r="B58" s="205">
        <f>'BASE PAX'!B33</f>
        <v>0</v>
      </c>
      <c r="C58" s="178">
        <f>'BASE PAX'!C33</f>
        <v>0</v>
      </c>
      <c r="D58" s="179">
        <f t="shared" si="6"/>
        <v>0</v>
      </c>
      <c r="E58" s="184">
        <f t="shared" si="7"/>
        <v>0</v>
      </c>
      <c r="F58" s="185">
        <f t="shared" si="8"/>
        <v>0</v>
      </c>
      <c r="G58" s="186">
        <f t="shared" si="9"/>
        <v>0</v>
      </c>
    </row>
    <row r="59" spans="1:16" ht="48" customHeight="1" thickBot="1">
      <c r="A59" s="21" t="s">
        <v>79</v>
      </c>
      <c r="B59" s="77"/>
      <c r="C59" s="126"/>
      <c r="D59" s="181"/>
      <c r="E59" s="127">
        <f>SUM(E52:E58)</f>
        <v>0</v>
      </c>
      <c r="F59" s="188">
        <f>SUM(F52:F58)</f>
        <v>0</v>
      </c>
      <c r="G59" s="189">
        <f t="shared" si="9"/>
        <v>0</v>
      </c>
    </row>
    <row r="60" spans="1:16" s="8" customFormat="1" ht="11" customHeight="1" thickBot="1">
      <c r="A60" s="16"/>
      <c r="B60" s="56"/>
      <c r="C60" s="105"/>
      <c r="D60" s="102"/>
      <c r="E60" s="102"/>
      <c r="F60" s="7"/>
      <c r="G60" s="17"/>
      <c r="H60" s="7"/>
      <c r="I60" s="7"/>
      <c r="J60" s="7"/>
      <c r="K60" s="7"/>
      <c r="L60" s="7"/>
      <c r="M60" s="7"/>
      <c r="N60" s="7"/>
      <c r="O60" s="7"/>
      <c r="P60" s="7"/>
    </row>
    <row r="61" spans="1:16" s="10" customFormat="1" ht="42" customHeight="1" thickBot="1">
      <c r="A61" s="226" t="s">
        <v>18</v>
      </c>
      <c r="B61" s="227" t="s">
        <v>52</v>
      </c>
      <c r="C61" s="228" t="s">
        <v>53</v>
      </c>
      <c r="D61" s="229" t="s">
        <v>54</v>
      </c>
      <c r="E61" s="229" t="s">
        <v>55</v>
      </c>
      <c r="F61" s="228" t="s">
        <v>158</v>
      </c>
      <c r="G61" s="230" t="s">
        <v>159</v>
      </c>
    </row>
    <row r="62" spans="1:16" ht="20" customHeight="1">
      <c r="A62" s="223" t="str">
        <f>'BASE PAX'!A37</f>
        <v>HOTTUBE</v>
      </c>
      <c r="B62" s="224">
        <f>'BASE PAX'!B37</f>
        <v>0</v>
      </c>
      <c r="C62" s="195">
        <f>'BASE PAX'!C37</f>
        <v>12000</v>
      </c>
      <c r="D62" s="225">
        <f t="shared" ref="D62:D71" si="10">C62*0.2+C62</f>
        <v>14400</v>
      </c>
      <c r="E62" s="225">
        <f t="shared" ref="E62:E71" si="11">D62*B62</f>
        <v>0</v>
      </c>
      <c r="F62" s="195">
        <f t="shared" ref="F62:F72" si="12">B62*C62</f>
        <v>0</v>
      </c>
      <c r="G62" s="194">
        <f t="shared" ref="G62:G72" si="13">E62-F62</f>
        <v>0</v>
      </c>
    </row>
    <row r="63" spans="1:16" ht="20" customHeight="1">
      <c r="A63" s="219" t="str">
        <f>'BASE PAX'!A38</f>
        <v>TREKKING 1/2 DAY</v>
      </c>
      <c r="B63" s="224">
        <f>'BASE PAX'!B38</f>
        <v>0</v>
      </c>
      <c r="C63" s="196">
        <f>'BASE PAX'!C38</f>
        <v>60000</v>
      </c>
      <c r="D63" s="220">
        <f t="shared" si="10"/>
        <v>72000</v>
      </c>
      <c r="E63" s="220">
        <f t="shared" si="11"/>
        <v>0</v>
      </c>
      <c r="F63" s="196">
        <f t="shared" si="12"/>
        <v>0</v>
      </c>
      <c r="G63" s="190">
        <f t="shared" si="13"/>
        <v>0</v>
      </c>
    </row>
    <row r="64" spans="1:16" ht="20" customHeight="1">
      <c r="A64" s="219" t="str">
        <f>'BASE PAX'!A39</f>
        <v>TREKKING FUK DAY</v>
      </c>
      <c r="B64" s="224">
        <f>'BASE PAX'!B39</f>
        <v>0</v>
      </c>
      <c r="C64" s="196">
        <f>'BASE PAX'!C39</f>
        <v>90000</v>
      </c>
      <c r="D64" s="220">
        <f t="shared" si="10"/>
        <v>108000</v>
      </c>
      <c r="E64" s="220">
        <f t="shared" si="11"/>
        <v>0</v>
      </c>
      <c r="F64" s="196">
        <f t="shared" si="12"/>
        <v>0</v>
      </c>
      <c r="G64" s="190">
        <f t="shared" si="13"/>
        <v>0</v>
      </c>
    </row>
    <row r="65" spans="1:16" ht="20" customHeight="1">
      <c r="A65" s="219" t="str">
        <f>'BASE PAX'!A40</f>
        <v>FLOTADA FAMILIAR</v>
      </c>
      <c r="B65" s="224">
        <f>'BASE PAX'!B40</f>
        <v>0</v>
      </c>
      <c r="C65" s="196">
        <f>'BASE PAX'!C40</f>
        <v>60000</v>
      </c>
      <c r="D65" s="220">
        <f t="shared" si="10"/>
        <v>72000</v>
      </c>
      <c r="E65" s="220">
        <f t="shared" si="11"/>
        <v>0</v>
      </c>
      <c r="F65" s="196">
        <f t="shared" si="12"/>
        <v>0</v>
      </c>
      <c r="G65" s="190">
        <f t="shared" si="13"/>
        <v>0</v>
      </c>
    </row>
    <row r="66" spans="1:16" ht="20" customHeight="1">
      <c r="A66" s="219" t="str">
        <f>'BASE PAX'!A41</f>
        <v>RAFTING 1/2 DAY</v>
      </c>
      <c r="B66" s="224">
        <f>'BASE PAX'!B41</f>
        <v>0</v>
      </c>
      <c r="C66" s="196">
        <f>'BASE PAX'!C41</f>
        <v>75000</v>
      </c>
      <c r="D66" s="220">
        <f t="shared" si="10"/>
        <v>90000</v>
      </c>
      <c r="E66" s="220">
        <f t="shared" si="11"/>
        <v>0</v>
      </c>
      <c r="F66" s="196">
        <f t="shared" si="12"/>
        <v>0</v>
      </c>
      <c r="G66" s="190">
        <f t="shared" si="13"/>
        <v>0</v>
      </c>
    </row>
    <row r="67" spans="1:16" ht="20" customHeight="1">
      <c r="A67" s="219" t="str">
        <f>'BASE PAX'!A42</f>
        <v>RAFTING FULL DAY</v>
      </c>
      <c r="B67" s="224">
        <f>'BASE PAX'!B42</f>
        <v>0</v>
      </c>
      <c r="C67" s="196">
        <f>'BASE PAX'!C42</f>
        <v>110000</v>
      </c>
      <c r="D67" s="220">
        <f t="shared" si="10"/>
        <v>132000</v>
      </c>
      <c r="E67" s="220">
        <f t="shared" si="11"/>
        <v>0</v>
      </c>
      <c r="F67" s="196">
        <f t="shared" si="12"/>
        <v>0</v>
      </c>
      <c r="G67" s="190">
        <f t="shared" si="13"/>
        <v>0</v>
      </c>
    </row>
    <row r="68" spans="1:16" ht="20" customHeight="1">
      <c r="A68" s="219" t="str">
        <f>'BASE PAX'!A43</f>
        <v>CABALGADA 1/2 DAy</v>
      </c>
      <c r="B68" s="224">
        <f>'BASE PAX'!B43</f>
        <v>0</v>
      </c>
      <c r="C68" s="196">
        <f>'BASE PAX'!C43</f>
        <v>90000</v>
      </c>
      <c r="D68" s="220">
        <f t="shared" si="10"/>
        <v>108000</v>
      </c>
      <c r="E68" s="220">
        <f t="shared" si="11"/>
        <v>0</v>
      </c>
      <c r="F68" s="196">
        <f t="shared" si="12"/>
        <v>0</v>
      </c>
      <c r="G68" s="190">
        <f t="shared" si="13"/>
        <v>0</v>
      </c>
    </row>
    <row r="69" spans="1:16" ht="20" customHeight="1">
      <c r="A69" s="219" t="str">
        <f>'BASE PAX'!A44</f>
        <v>CABALGADA FULL DAY</v>
      </c>
      <c r="B69" s="224">
        <f>'BASE PAX'!B44</f>
        <v>0</v>
      </c>
      <c r="C69" s="196">
        <f>'BASE PAX'!C44</f>
        <v>140000</v>
      </c>
      <c r="D69" s="220">
        <f t="shared" si="10"/>
        <v>168000</v>
      </c>
      <c r="E69" s="220">
        <f t="shared" si="11"/>
        <v>0</v>
      </c>
      <c r="F69" s="196">
        <f t="shared" si="12"/>
        <v>0</v>
      </c>
      <c r="G69" s="190">
        <f t="shared" si="13"/>
        <v>0</v>
      </c>
    </row>
    <row r="70" spans="1:16" ht="20" customHeight="1">
      <c r="A70" s="219" t="str">
        <f>'BASE PAX'!A45</f>
        <v>LANCHA YELCHO</v>
      </c>
      <c r="B70" s="224">
        <f>'BASE PAX'!B45</f>
        <v>0</v>
      </c>
      <c r="C70" s="196">
        <f>'BASE PAX'!C45</f>
        <v>120000</v>
      </c>
      <c r="D70" s="220">
        <f t="shared" si="10"/>
        <v>144000</v>
      </c>
      <c r="E70" s="220">
        <f t="shared" si="11"/>
        <v>0</v>
      </c>
      <c r="F70" s="196">
        <f t="shared" si="12"/>
        <v>0</v>
      </c>
      <c r="G70" s="190">
        <f t="shared" si="13"/>
        <v>0</v>
      </c>
    </row>
    <row r="71" spans="1:16" ht="20" customHeight="1" thickBot="1">
      <c r="A71" s="221" t="str">
        <f>'BASE PAX'!A46</f>
        <v>RECREACAO INFANTIL 3HS</v>
      </c>
      <c r="B71" s="224">
        <f>'BASE PAX'!B46</f>
        <v>0</v>
      </c>
      <c r="C71" s="197">
        <f>'BASE PAX'!C46</f>
        <v>30000</v>
      </c>
      <c r="D71" s="220">
        <f t="shared" si="10"/>
        <v>36000</v>
      </c>
      <c r="E71" s="222">
        <f t="shared" si="11"/>
        <v>0</v>
      </c>
      <c r="F71" s="197">
        <f t="shared" si="12"/>
        <v>0</v>
      </c>
      <c r="G71" s="192">
        <f t="shared" si="13"/>
        <v>0</v>
      </c>
    </row>
    <row r="72" spans="1:16" ht="48" customHeight="1" thickBot="1">
      <c r="A72" s="22" t="s">
        <v>84</v>
      </c>
      <c r="B72" s="79"/>
      <c r="C72" s="128"/>
      <c r="D72" s="128"/>
      <c r="E72" s="198">
        <f>SUM(E62:E71)</f>
        <v>0</v>
      </c>
      <c r="F72" s="204">
        <f t="shared" si="12"/>
        <v>0</v>
      </c>
      <c r="G72" s="203">
        <f t="shared" si="13"/>
        <v>0</v>
      </c>
    </row>
    <row r="73" spans="1:16" ht="37" customHeight="1" thickBot="1"/>
    <row r="74" spans="1:16" s="8" customFormat="1" ht="36" customHeight="1" thickBot="1">
      <c r="A74" s="23" t="s">
        <v>116</v>
      </c>
      <c r="B74" s="214" t="s">
        <v>52</v>
      </c>
      <c r="C74" s="215" t="s">
        <v>53</v>
      </c>
      <c r="D74" s="153" t="s">
        <v>54</v>
      </c>
      <c r="E74" s="153" t="s">
        <v>55</v>
      </c>
      <c r="F74" s="143" t="s">
        <v>162</v>
      </c>
      <c r="G74" s="147" t="s">
        <v>159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 ht="20" customHeight="1">
      <c r="A75" s="88" t="str">
        <f>'BASE PAX'!A50</f>
        <v>TRANSFER AEROPORTO CHEGADA</v>
      </c>
      <c r="B75" s="211">
        <f>'BASE PAX'!B50</f>
        <v>0</v>
      </c>
      <c r="C75" s="213">
        <v>50000</v>
      </c>
      <c r="D75" s="231">
        <f>C75*0.2+C75</f>
        <v>60000</v>
      </c>
      <c r="E75" s="231">
        <f>D75*B75</f>
        <v>0</v>
      </c>
      <c r="F75" s="210">
        <f>B75*C75</f>
        <v>0</v>
      </c>
      <c r="G75" s="199">
        <f t="shared" ref="G75:G80" si="14">E75-F75</f>
        <v>0</v>
      </c>
    </row>
    <row r="76" spans="1:16" ht="20" customHeight="1">
      <c r="A76" s="88" t="str">
        <f>'BASE PAX'!A51</f>
        <v>TRANSFER AEROPORTO PARTIDA</v>
      </c>
      <c r="B76" s="211">
        <f>'BASE PAX'!B51</f>
        <v>0</v>
      </c>
      <c r="C76" s="212">
        <f>'BASE PAX'!C51</f>
        <v>80000</v>
      </c>
      <c r="D76" s="232">
        <f>C76*0.2+C76</f>
        <v>96000</v>
      </c>
      <c r="E76" s="232">
        <f>D76*B76</f>
        <v>0</v>
      </c>
      <c r="F76" s="210">
        <f>B76*C76</f>
        <v>0</v>
      </c>
      <c r="G76" s="200">
        <f t="shared" si="14"/>
        <v>0</v>
      </c>
    </row>
    <row r="77" spans="1:16" ht="20" customHeight="1">
      <c r="A77" s="88" t="str">
        <f>'BASE PAX'!A52</f>
        <v>TRANSFERS INTERNO</v>
      </c>
      <c r="B77" s="211">
        <f>'BASE PAX'!B52</f>
        <v>0</v>
      </c>
      <c r="C77" s="212">
        <f>'BASE PAX'!C52</f>
        <v>18000</v>
      </c>
      <c r="D77" s="232">
        <f>C77*0.2+C77</f>
        <v>21600</v>
      </c>
      <c r="E77" s="232">
        <f>D77*B77</f>
        <v>0</v>
      </c>
      <c r="F77" s="210">
        <f>B77*C77</f>
        <v>0</v>
      </c>
      <c r="G77" s="200">
        <f t="shared" si="14"/>
        <v>0</v>
      </c>
    </row>
    <row r="78" spans="1:16" ht="20" customHeight="1">
      <c r="A78" s="88" t="str">
        <f>'BASE PAX'!A53</f>
        <v>EXTRAS 1</v>
      </c>
      <c r="B78" s="211">
        <f>'BASE PAX'!B53</f>
        <v>0</v>
      </c>
      <c r="C78" s="212">
        <f>'BASE PAX'!C53</f>
        <v>150000</v>
      </c>
      <c r="D78" s="232">
        <f>C78*0.2+C78</f>
        <v>180000</v>
      </c>
      <c r="E78" s="232">
        <f>D78*B78</f>
        <v>0</v>
      </c>
      <c r="F78" s="210">
        <f>B78*C78</f>
        <v>0</v>
      </c>
      <c r="G78" s="200">
        <f t="shared" si="14"/>
        <v>0</v>
      </c>
    </row>
    <row r="79" spans="1:16" ht="20" customHeight="1" thickBot="1">
      <c r="A79" s="218" t="str">
        <f>'BASE PAX'!A54</f>
        <v>EXTRAS 2</v>
      </c>
      <c r="B79" s="211">
        <f>'BASE PAX'!B54</f>
        <v>0</v>
      </c>
      <c r="C79" s="216">
        <f>'BASE PAX'!C54</f>
        <v>0</v>
      </c>
      <c r="D79" s="233">
        <f>C79*0.2+C79</f>
        <v>0</v>
      </c>
      <c r="E79" s="233">
        <f>D79*B79</f>
        <v>0</v>
      </c>
      <c r="F79" s="217">
        <f>B79*C79</f>
        <v>0</v>
      </c>
      <c r="G79" s="201">
        <f t="shared" si="14"/>
        <v>0</v>
      </c>
    </row>
    <row r="80" spans="1:16" ht="44" customHeight="1" thickBot="1">
      <c r="A80" s="23" t="s">
        <v>89</v>
      </c>
      <c r="B80" s="80"/>
      <c r="C80" s="130"/>
      <c r="D80" s="130"/>
      <c r="E80" s="131">
        <f>SUM(E75:E79)</f>
        <v>0</v>
      </c>
      <c r="F80" s="131">
        <f>SUM(F75:F79)</f>
        <v>0</v>
      </c>
      <c r="G80" s="203">
        <f t="shared" si="14"/>
        <v>0</v>
      </c>
    </row>
    <row r="81" spans="1:16" s="8" customFormat="1" ht="11" customHeight="1" thickBot="1">
      <c r="A81" s="16"/>
      <c r="B81" s="56"/>
      <c r="C81" s="105"/>
      <c r="D81" s="102"/>
      <c r="E81" s="102"/>
      <c r="F81" s="7"/>
      <c r="G81" s="17"/>
      <c r="H81" s="7"/>
      <c r="I81" s="7"/>
      <c r="J81" s="7"/>
      <c r="K81" s="7"/>
      <c r="L81" s="7"/>
      <c r="M81" s="7"/>
      <c r="N81" s="7"/>
      <c r="O81" s="7"/>
      <c r="P81" s="7"/>
    </row>
    <row r="82" spans="1:16" s="9" customFormat="1" ht="42" customHeight="1" thickBot="1">
      <c r="A82" s="246" t="s">
        <v>117</v>
      </c>
      <c r="B82" s="247" t="s">
        <v>52</v>
      </c>
      <c r="C82" s="248" t="s">
        <v>53</v>
      </c>
      <c r="D82" s="249" t="s">
        <v>54</v>
      </c>
      <c r="E82" s="249" t="s">
        <v>55</v>
      </c>
      <c r="F82" s="248" t="s">
        <v>162</v>
      </c>
      <c r="G82" s="147" t="s">
        <v>159</v>
      </c>
    </row>
    <row r="83" spans="1:16" ht="20" customHeight="1">
      <c r="A83" s="81" t="str">
        <f>'BASE PAX'!A58</f>
        <v>WS INSTRUCTOR</v>
      </c>
      <c r="B83" s="242">
        <f>'BASE PAX'!B58</f>
        <v>0</v>
      </c>
      <c r="C83" s="239">
        <f>'BASE PAX'!C58</f>
        <v>3415000</v>
      </c>
      <c r="D83" s="240">
        <f>(C83*0.15)+C83</f>
        <v>3927250</v>
      </c>
      <c r="E83" s="240">
        <f>D83*B83</f>
        <v>0</v>
      </c>
      <c r="F83" s="234">
        <f>B83*C83</f>
        <v>0</v>
      </c>
      <c r="G83" s="199">
        <f>E83-F83</f>
        <v>0</v>
      </c>
    </row>
    <row r="84" spans="1:16" ht="20" customHeight="1">
      <c r="A84" s="81" t="str">
        <f>'BASE PAX'!A59</f>
        <v>PRODUCER FEE</v>
      </c>
      <c r="B84" s="242">
        <f>'BASE PAX'!B59</f>
        <v>0</v>
      </c>
      <c r="C84" s="236">
        <f>'BASE PAX'!C59</f>
        <v>180000</v>
      </c>
      <c r="D84" s="237">
        <f>(C84*0.15)+C84</f>
        <v>207000</v>
      </c>
      <c r="E84" s="237">
        <f>D84*B84</f>
        <v>0</v>
      </c>
      <c r="F84" s="234">
        <f>B84*C84</f>
        <v>0</v>
      </c>
      <c r="G84" s="200">
        <f>E84-F84</f>
        <v>0</v>
      </c>
    </row>
    <row r="85" spans="1:16" ht="20" customHeight="1" thickBot="1">
      <c r="A85" s="241">
        <f>'BASE PAX'!A60</f>
        <v>0</v>
      </c>
      <c r="B85" s="242">
        <f>'BASE PAX'!B60</f>
        <v>0</v>
      </c>
      <c r="C85" s="243">
        <f>'BASE PAX'!C60</f>
        <v>20000</v>
      </c>
      <c r="D85" s="244">
        <f>(C85*0.15)+C85</f>
        <v>23000</v>
      </c>
      <c r="E85" s="244">
        <f>D85*B85</f>
        <v>0</v>
      </c>
      <c r="F85" s="245">
        <f>B85*C85</f>
        <v>0</v>
      </c>
      <c r="G85" s="201">
        <f>E85-F85</f>
        <v>0</v>
      </c>
    </row>
    <row r="86" spans="1:16" ht="41" customHeight="1" thickBot="1">
      <c r="A86" s="24" t="s">
        <v>163</v>
      </c>
      <c r="B86" s="82"/>
      <c r="C86" s="132"/>
      <c r="D86" s="132"/>
      <c r="E86" s="133">
        <f>SUM(E83:E85)</f>
        <v>0</v>
      </c>
      <c r="F86" s="133">
        <f>SUM(F81:F85)</f>
        <v>0</v>
      </c>
      <c r="G86" s="203">
        <f>E86-F86</f>
        <v>0</v>
      </c>
    </row>
    <row r="87" spans="1:16" s="8" customFormat="1" ht="11" customHeight="1" thickBot="1">
      <c r="A87" s="16"/>
      <c r="B87" s="56"/>
      <c r="C87" s="105"/>
      <c r="D87" s="102"/>
      <c r="E87" s="102"/>
      <c r="F87" s="7"/>
      <c r="G87" s="17"/>
      <c r="H87" s="7"/>
      <c r="I87" s="7"/>
      <c r="J87" s="7"/>
      <c r="K87" s="7"/>
      <c r="L87" s="7"/>
      <c r="M87" s="7"/>
      <c r="N87" s="7"/>
      <c r="O87" s="7"/>
      <c r="P87" s="7"/>
    </row>
    <row r="88" spans="1:16" ht="38" customHeight="1" thickBot="1">
      <c r="A88" s="258" t="s">
        <v>164</v>
      </c>
      <c r="B88" s="259" t="s">
        <v>92</v>
      </c>
      <c r="C88" s="250" t="s">
        <v>53</v>
      </c>
      <c r="D88" s="260" t="s">
        <v>54</v>
      </c>
      <c r="E88" s="260" t="s">
        <v>55</v>
      </c>
      <c r="F88" s="250"/>
      <c r="G88" s="147" t="s">
        <v>159</v>
      </c>
    </row>
    <row r="89" spans="1:16" ht="20" customHeight="1">
      <c r="A89" s="255" t="str">
        <f>'BASE PAX'!A64</f>
        <v>COORDENAÇÃO PRODUÇÃO</v>
      </c>
      <c r="B89" s="256">
        <f>'BASE PAX'!B64</f>
        <v>0</v>
      </c>
      <c r="C89" s="257">
        <f>'BASE PAX'!C64</f>
        <v>50000</v>
      </c>
      <c r="D89" s="257">
        <f>'BASE PAX'!D64</f>
        <v>0</v>
      </c>
      <c r="E89" s="121">
        <f>D89*B89</f>
        <v>0</v>
      </c>
      <c r="F89" s="257"/>
      <c r="G89" s="199">
        <f t="shared" ref="G89:G94" si="15">E89*0.2</f>
        <v>0</v>
      </c>
    </row>
    <row r="90" spans="1:16" ht="20" customHeight="1">
      <c r="A90" s="251" t="str">
        <f>'BASE PAX'!A65</f>
        <v>EXTRA MÃO DE OBRA</v>
      </c>
      <c r="B90" s="256">
        <f>'BASE PAX'!B65</f>
        <v>0</v>
      </c>
      <c r="C90" s="253">
        <f>'BASE PAX'!C65</f>
        <v>50000</v>
      </c>
      <c r="D90" s="253">
        <f>'BASE PAX'!D65</f>
        <v>0</v>
      </c>
      <c r="E90" s="121">
        <f t="shared" ref="E90:E94" si="16">D90*B90</f>
        <v>0</v>
      </c>
      <c r="F90" s="253"/>
      <c r="G90" s="199">
        <f t="shared" si="15"/>
        <v>0</v>
      </c>
    </row>
    <row r="91" spans="1:16" ht="20" customHeight="1">
      <c r="A91" s="251" t="str">
        <f>'BASE PAX'!A66</f>
        <v>TAXA LIMPEZA CHECK IN / CHECKOUT</v>
      </c>
      <c r="B91" s="252">
        <f>'BASE PAX'!B66</f>
        <v>0</v>
      </c>
      <c r="C91" s="253">
        <f>'BASE PAX'!C66</f>
        <v>40000</v>
      </c>
      <c r="D91" s="253">
        <f>'BASE PAX'!D66</f>
        <v>0</v>
      </c>
      <c r="E91" s="121">
        <f t="shared" si="16"/>
        <v>0</v>
      </c>
      <c r="F91" s="253"/>
      <c r="G91" s="199">
        <f t="shared" si="15"/>
        <v>0</v>
      </c>
    </row>
    <row r="92" spans="1:16" ht="20" customHeight="1">
      <c r="A92" s="251" t="str">
        <f>'BASE PAX'!A67</f>
        <v>TAXA LIMPEZA DIARIA</v>
      </c>
      <c r="B92" s="254">
        <f>'BASE PAX'!B67</f>
        <v>0</v>
      </c>
      <c r="C92" s="253">
        <f>'BASE PAX'!C67</f>
        <v>30000</v>
      </c>
      <c r="D92" s="253">
        <f>'BASE PAX'!D67</f>
        <v>0</v>
      </c>
      <c r="E92" s="121">
        <f t="shared" si="16"/>
        <v>0</v>
      </c>
      <c r="F92" s="253"/>
      <c r="G92" s="199">
        <f t="shared" si="15"/>
        <v>0</v>
      </c>
    </row>
    <row r="93" spans="1:16" ht="20" customHeight="1">
      <c r="A93" s="251" t="str">
        <f>'BASE PAX'!A68</f>
        <v>SOUVENIR</v>
      </c>
      <c r="B93" s="252">
        <f>'BASE PAX'!B68</f>
        <v>0</v>
      </c>
      <c r="C93" s="253">
        <f>'BASE PAX'!C68</f>
        <v>15000</v>
      </c>
      <c r="D93" s="253">
        <f>'BASE PAX'!D68</f>
        <v>0</v>
      </c>
      <c r="E93" s="121">
        <f t="shared" si="16"/>
        <v>0</v>
      </c>
      <c r="F93" s="253"/>
      <c r="G93" s="199">
        <f t="shared" si="15"/>
        <v>0</v>
      </c>
    </row>
    <row r="94" spans="1:16" ht="20" customHeight="1" thickBot="1">
      <c r="A94" s="251" t="str">
        <f>'BASE PAX'!A69</f>
        <v>ASSISTENTE COORDENAÇÃO</v>
      </c>
      <c r="B94" s="256">
        <f>'BASE PAX'!B69</f>
        <v>0</v>
      </c>
      <c r="C94" s="253">
        <f>'BASE PAX'!C69</f>
        <v>30000</v>
      </c>
      <c r="D94" s="253">
        <f>'BASE PAX'!D69</f>
        <v>0</v>
      </c>
      <c r="E94" s="121">
        <f t="shared" si="16"/>
        <v>0</v>
      </c>
      <c r="F94" s="253"/>
      <c r="G94" s="199">
        <f t="shared" si="15"/>
        <v>0</v>
      </c>
    </row>
    <row r="95" spans="1:16" ht="41" customHeight="1" thickBot="1">
      <c r="A95" s="25" t="s">
        <v>101</v>
      </c>
      <c r="B95" s="83"/>
      <c r="C95" s="134"/>
      <c r="D95" s="134"/>
      <c r="E95" s="135">
        <f>SUM(E89:E94)</f>
        <v>0</v>
      </c>
      <c r="F95" s="135"/>
      <c r="G95" s="203">
        <f>SUM(G89:G94)</f>
        <v>0</v>
      </c>
    </row>
    <row r="96" spans="1:16" s="8" customFormat="1" ht="11" customHeight="1" thickBot="1">
      <c r="A96" s="16"/>
      <c r="B96" s="56"/>
      <c r="C96" s="105"/>
      <c r="D96" s="102"/>
      <c r="E96" s="102"/>
      <c r="F96" s="7"/>
      <c r="G96" s="17"/>
      <c r="H96" s="7"/>
      <c r="I96" s="7"/>
      <c r="J96" s="7"/>
      <c r="K96" s="7"/>
      <c r="L96" s="7"/>
      <c r="M96" s="7"/>
      <c r="N96" s="7"/>
      <c r="O96" s="7"/>
      <c r="P96" s="7"/>
    </row>
    <row r="97" spans="1:16" ht="38" customHeight="1" thickBot="1">
      <c r="A97" s="26" t="s">
        <v>165</v>
      </c>
      <c r="B97" s="27" t="s">
        <v>92</v>
      </c>
      <c r="C97" s="136" t="s">
        <v>53</v>
      </c>
      <c r="D97" s="136" t="s">
        <v>54</v>
      </c>
      <c r="E97" s="137" t="s">
        <v>55</v>
      </c>
      <c r="F97" s="20"/>
      <c r="G97" s="20"/>
    </row>
    <row r="98" spans="1:16" ht="23" customHeight="1" thickBot="1">
      <c r="A98" s="84" t="str">
        <f>'BASE PAX'!A73</f>
        <v xml:space="preserve">QUINCHO DAY USE / CABIN </v>
      </c>
      <c r="B98" s="85">
        <f>'BASE PAX'!B73</f>
        <v>0</v>
      </c>
      <c r="C98" s="138">
        <f>'BASE PAX'!C73</f>
        <v>15000</v>
      </c>
      <c r="D98" s="138">
        <f>C98+(C98*0.2)</f>
        <v>18000</v>
      </c>
      <c r="E98" s="139">
        <f>D98*B98</f>
        <v>0</v>
      </c>
      <c r="F98" s="19"/>
      <c r="G98" s="17"/>
    </row>
    <row r="99" spans="1:16" ht="42" customHeight="1" thickBot="1">
      <c r="A99" s="26" t="s">
        <v>104</v>
      </c>
      <c r="B99" s="86"/>
      <c r="C99" s="140"/>
      <c r="D99" s="140"/>
      <c r="E99" s="141">
        <f>E98</f>
        <v>0</v>
      </c>
    </row>
    <row r="100" spans="1:16" s="6" customFormat="1" ht="20" customHeight="1">
      <c r="A100" s="28"/>
      <c r="B100" s="52"/>
      <c r="C100" s="11"/>
      <c r="D100" s="11"/>
      <c r="E100" s="11"/>
      <c r="F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9" customHeight="1"/>
  </sheetData>
  <sheetProtection sheet="1" objects="1" scenarios="1"/>
  <mergeCells count="17">
    <mergeCell ref="A11:A12"/>
    <mergeCell ref="A28:D28"/>
    <mergeCell ref="B5:C5"/>
    <mergeCell ref="F20:F21"/>
    <mergeCell ref="B11:B12"/>
    <mergeCell ref="D11:D12"/>
    <mergeCell ref="B9:C9"/>
    <mergeCell ref="D9:E9"/>
    <mergeCell ref="B8:C8"/>
    <mergeCell ref="D8:E8"/>
    <mergeCell ref="D6:E6"/>
    <mergeCell ref="B6:C6"/>
    <mergeCell ref="I11:K11"/>
    <mergeCell ref="D7:E7"/>
    <mergeCell ref="B7:C7"/>
    <mergeCell ref="F11:G13"/>
    <mergeCell ref="G20:G21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P101"/>
  <sheetViews>
    <sheetView topLeftCell="A42" workbookViewId="0">
      <selection activeCell="C92" sqref="C92"/>
    </sheetView>
  </sheetViews>
  <sheetFormatPr baseColWidth="10" defaultColWidth="11" defaultRowHeight="17"/>
  <cols>
    <col min="1" max="1" width="48.796875" style="7" customWidth="1"/>
    <col min="2" max="2" width="23.796875" style="52" customWidth="1"/>
    <col min="3" max="3" width="24" style="7" customWidth="1"/>
    <col min="4" max="4" width="22.796875" style="12" customWidth="1"/>
    <col min="5" max="5" width="22.19921875" style="11" customWidth="1"/>
    <col min="6" max="6" width="30.3984375" style="7" customWidth="1"/>
    <col min="7" max="7" width="27.796875" style="6" customWidth="1"/>
    <col min="8" max="8" width="32.3984375" style="7" customWidth="1"/>
    <col min="9" max="9" width="23.59765625" style="7" customWidth="1"/>
    <col min="10" max="10" width="25.19921875" style="7" customWidth="1"/>
    <col min="11" max="11" width="28.796875" style="7" customWidth="1"/>
    <col min="12" max="12" width="36.19921875" style="7" customWidth="1"/>
    <col min="13" max="28" width="11" style="7" customWidth="1"/>
    <col min="29" max="16384" width="11" style="7"/>
  </cols>
  <sheetData>
    <row r="1" spans="1:16" ht="22" hidden="1" customHeight="1" thickBot="1"/>
    <row r="2" spans="1:16" ht="7" customHeight="1">
      <c r="D2" s="13"/>
    </row>
    <row r="3" spans="1:16" s="10" customFormat="1" ht="1" customHeight="1">
      <c r="A3" s="14"/>
      <c r="B3" s="53"/>
      <c r="C3" s="15" t="s">
        <v>11</v>
      </c>
      <c r="D3" s="15"/>
      <c r="E3" s="15"/>
      <c r="G3" s="9"/>
    </row>
    <row r="4" spans="1:16" s="10" customFormat="1" ht="19" customHeight="1">
      <c r="A4" s="14"/>
      <c r="B4" s="53"/>
      <c r="C4" s="15"/>
      <c r="D4" s="15"/>
      <c r="E4" s="15"/>
      <c r="G4" s="9"/>
    </row>
    <row r="5" spans="1:16" s="10" customFormat="1" ht="48" customHeight="1">
      <c r="A5" s="54" t="s">
        <v>129</v>
      </c>
      <c r="B5" s="674">
        <v>2</v>
      </c>
      <c r="C5" s="675"/>
      <c r="D5" s="277"/>
      <c r="E5" s="277" t="s">
        <v>11</v>
      </c>
      <c r="F5" s="278"/>
      <c r="G5" s="9"/>
    </row>
    <row r="6" spans="1:16" s="8" customFormat="1" ht="37" customHeight="1">
      <c r="A6" s="54" t="s">
        <v>130</v>
      </c>
      <c r="B6" s="683">
        <v>1</v>
      </c>
      <c r="C6" s="684"/>
      <c r="D6" s="682" t="s">
        <v>131</v>
      </c>
      <c r="E6" s="661"/>
      <c r="F6" s="106">
        <f>D21</f>
        <v>0</v>
      </c>
    </row>
    <row r="7" spans="1:16" s="8" customFormat="1" ht="33" customHeight="1">
      <c r="A7" s="55" t="s">
        <v>132</v>
      </c>
      <c r="B7" s="662">
        <f>CALENDAR!C2</f>
        <v>0</v>
      </c>
      <c r="C7" s="661"/>
      <c r="D7" s="660" t="s">
        <v>133</v>
      </c>
      <c r="E7" s="661"/>
      <c r="F7" s="107">
        <f>SUM(F12:F20)</f>
        <v>0</v>
      </c>
    </row>
    <row r="8" spans="1:16" s="8" customFormat="1" ht="31" customHeight="1">
      <c r="A8" s="54" t="s">
        <v>134</v>
      </c>
      <c r="B8" s="680">
        <f>CALENDAR!C3</f>
        <v>0</v>
      </c>
      <c r="C8" s="661"/>
      <c r="D8" s="681" t="s">
        <v>135</v>
      </c>
      <c r="E8" s="661"/>
      <c r="F8" s="108">
        <f>F6-F7</f>
        <v>0</v>
      </c>
      <c r="G8" s="32"/>
    </row>
    <row r="9" spans="1:16" s="8" customFormat="1" ht="32" customHeight="1">
      <c r="A9" s="55" t="s">
        <v>136</v>
      </c>
      <c r="B9" s="678">
        <f>CALENDAR!J2</f>
        <v>0</v>
      </c>
      <c r="C9" s="661"/>
      <c r="D9" s="679" t="s">
        <v>137</v>
      </c>
      <c r="E9" s="661"/>
      <c r="F9" s="1"/>
      <c r="G9" s="32"/>
    </row>
    <row r="10" spans="1:16" s="8" customFormat="1" ht="30" customHeight="1" thickBot="1">
      <c r="A10" s="16"/>
      <c r="B10" s="56"/>
      <c r="C10" s="6"/>
      <c r="D10" s="7"/>
      <c r="E10" s="7"/>
      <c r="F10" s="7"/>
      <c r="G10" s="17"/>
      <c r="H10" s="7"/>
      <c r="I10" s="7"/>
      <c r="J10" s="7"/>
      <c r="K10" s="7"/>
      <c r="L10" s="7"/>
      <c r="M10" s="7"/>
      <c r="N10" s="7"/>
      <c r="O10" s="7"/>
      <c r="P10" s="7"/>
    </row>
    <row r="11" spans="1:16" s="6" customFormat="1" ht="44" customHeight="1" thickBot="1">
      <c r="A11" s="671" t="s">
        <v>138</v>
      </c>
      <c r="B11" s="677" t="s">
        <v>139</v>
      </c>
      <c r="C11" s="57" t="s">
        <v>140</v>
      </c>
      <c r="D11" s="677" t="s">
        <v>141</v>
      </c>
      <c r="E11" s="7"/>
      <c r="F11" s="738" t="str">
        <f>E5</f>
        <v>COIGUE</v>
      </c>
      <c r="G11" s="664"/>
      <c r="H11" s="7"/>
      <c r="I11" s="658" t="s">
        <v>142</v>
      </c>
      <c r="J11" s="659"/>
      <c r="K11" s="659"/>
      <c r="L11" s="7"/>
      <c r="M11" s="7"/>
      <c r="N11" s="7"/>
      <c r="O11" s="7"/>
      <c r="P11" s="7"/>
    </row>
    <row r="12" spans="1:16" s="6" customFormat="1" ht="32" customHeight="1">
      <c r="A12" s="659"/>
      <c r="B12" s="659"/>
      <c r="C12" s="58">
        <v>0.05</v>
      </c>
      <c r="D12" s="659"/>
      <c r="E12" s="7"/>
      <c r="F12" s="665"/>
      <c r="G12" s="666"/>
      <c r="H12" s="7"/>
      <c r="I12" s="59" t="s">
        <v>126</v>
      </c>
      <c r="J12" s="60" t="s">
        <v>143</v>
      </c>
      <c r="K12" s="60" t="s">
        <v>144</v>
      </c>
      <c r="L12" s="7"/>
      <c r="M12" s="7"/>
      <c r="N12" s="7"/>
      <c r="O12" s="7"/>
      <c r="P12" s="7"/>
    </row>
    <row r="13" spans="1:16" ht="22" customHeight="1" thickBot="1">
      <c r="A13" s="61" t="s">
        <v>15</v>
      </c>
      <c r="B13" s="109">
        <f>G28</f>
        <v>0</v>
      </c>
      <c r="C13" s="109">
        <f t="shared" ref="C13:C20" si="0">B13*$C$12</f>
        <v>0</v>
      </c>
      <c r="D13" s="109">
        <f t="shared" ref="D13:D20" si="1">B13+(B13*$C$12)</f>
        <v>0</v>
      </c>
      <c r="E13" s="7"/>
      <c r="F13" s="667"/>
      <c r="G13" s="668"/>
      <c r="I13" s="3"/>
      <c r="J13" s="4"/>
      <c r="K13" s="5"/>
    </row>
    <row r="14" spans="1:16" s="6" customFormat="1" ht="20" customHeight="1">
      <c r="A14" s="62" t="s">
        <v>16</v>
      </c>
      <c r="B14" s="110">
        <f>J49</f>
        <v>0</v>
      </c>
      <c r="C14" s="110">
        <f t="shared" si="0"/>
        <v>0</v>
      </c>
      <c r="D14" s="110">
        <f t="shared" si="1"/>
        <v>0</v>
      </c>
      <c r="E14" s="7"/>
      <c r="F14" s="271" t="str">
        <f t="shared" ref="F14:F19" si="2">A14</f>
        <v>2.FOOD</v>
      </c>
      <c r="G14" s="261">
        <f>G49</f>
        <v>0</v>
      </c>
      <c r="H14" s="7"/>
      <c r="I14" s="3"/>
      <c r="J14" s="4"/>
      <c r="K14" s="5"/>
      <c r="L14" s="7"/>
      <c r="M14" s="7"/>
      <c r="N14" s="7"/>
      <c r="O14" s="7"/>
      <c r="P14" s="7"/>
    </row>
    <row r="15" spans="1:16" s="6" customFormat="1" ht="20" customHeight="1">
      <c r="A15" s="63" t="s">
        <v>17</v>
      </c>
      <c r="B15" s="111">
        <f>E59</f>
        <v>0</v>
      </c>
      <c r="C15" s="111">
        <f t="shared" si="0"/>
        <v>0</v>
      </c>
      <c r="D15" s="111">
        <f t="shared" si="1"/>
        <v>0</v>
      </c>
      <c r="E15" s="7"/>
      <c r="F15" s="272" t="str">
        <f t="shared" si="2"/>
        <v>3.DRINKS</v>
      </c>
      <c r="G15" s="262">
        <f>G59</f>
        <v>0</v>
      </c>
      <c r="H15" s="7"/>
      <c r="I15" s="3"/>
      <c r="J15" s="4"/>
      <c r="K15" s="5"/>
      <c r="L15" s="7"/>
      <c r="M15" s="7"/>
      <c r="N15" s="7"/>
      <c r="O15" s="7"/>
      <c r="P15" s="7"/>
    </row>
    <row r="16" spans="1:16" s="6" customFormat="1" ht="20" customHeight="1">
      <c r="A16" s="55" t="s">
        <v>18</v>
      </c>
      <c r="B16" s="112">
        <f>$E$72</f>
        <v>0</v>
      </c>
      <c r="C16" s="112">
        <f t="shared" si="0"/>
        <v>0</v>
      </c>
      <c r="D16" s="112">
        <f t="shared" si="1"/>
        <v>0</v>
      </c>
      <c r="E16" s="7"/>
      <c r="F16" s="273" t="str">
        <f t="shared" si="2"/>
        <v>4. ACTIVITIES</v>
      </c>
      <c r="G16" s="263">
        <f>G72</f>
        <v>0</v>
      </c>
      <c r="H16" s="7"/>
      <c r="I16" s="3"/>
      <c r="J16" s="4"/>
      <c r="K16" s="5"/>
      <c r="L16" s="7"/>
      <c r="M16" s="7"/>
      <c r="N16" s="7"/>
      <c r="O16" s="7"/>
      <c r="P16" s="7"/>
    </row>
    <row r="17" spans="1:16" s="6" customFormat="1" ht="20" customHeight="1">
      <c r="A17" s="63" t="s">
        <v>19</v>
      </c>
      <c r="B17" s="111">
        <f>$E$80</f>
        <v>0</v>
      </c>
      <c r="C17" s="111">
        <f t="shared" si="0"/>
        <v>0</v>
      </c>
      <c r="D17" s="111">
        <f t="shared" si="1"/>
        <v>0</v>
      </c>
      <c r="E17" s="7"/>
      <c r="F17" s="274" t="str">
        <f t="shared" si="2"/>
        <v>5.TRANSPORT</v>
      </c>
      <c r="G17" s="174">
        <f>G80</f>
        <v>0</v>
      </c>
      <c r="H17" s="7"/>
      <c r="I17" s="3"/>
      <c r="J17" s="4"/>
      <c r="K17" s="5"/>
      <c r="L17" s="7"/>
      <c r="M17" s="7"/>
      <c r="N17" s="7"/>
      <c r="O17" s="7"/>
      <c r="P17" s="7"/>
    </row>
    <row r="18" spans="1:16" s="6" customFormat="1" ht="20" customHeight="1">
      <c r="A18" s="64" t="s">
        <v>20</v>
      </c>
      <c r="B18" s="113">
        <f>$E$86</f>
        <v>0</v>
      </c>
      <c r="C18" s="113">
        <f t="shared" si="0"/>
        <v>0</v>
      </c>
      <c r="D18" s="113">
        <f t="shared" si="1"/>
        <v>0</v>
      </c>
      <c r="E18" s="10"/>
      <c r="F18" s="275" t="str">
        <f t="shared" si="2"/>
        <v>6.EXPERIENCES</v>
      </c>
      <c r="G18" s="264">
        <f>G86</f>
        <v>0</v>
      </c>
      <c r="H18" s="7"/>
      <c r="I18" s="3"/>
      <c r="J18" s="4"/>
      <c r="K18" s="5"/>
      <c r="L18" s="7"/>
      <c r="M18" s="7"/>
      <c r="N18" s="7"/>
      <c r="O18" s="7"/>
      <c r="P18" s="7"/>
    </row>
    <row r="19" spans="1:16" s="6" customFormat="1" ht="20" customHeight="1">
      <c r="A19" s="65" t="s">
        <v>21</v>
      </c>
      <c r="B19" s="114">
        <f>$E$95</f>
        <v>0</v>
      </c>
      <c r="C19" s="114">
        <f t="shared" si="0"/>
        <v>0</v>
      </c>
      <c r="D19" s="114">
        <f t="shared" si="1"/>
        <v>0</v>
      </c>
      <c r="E19" s="7"/>
      <c r="F19" s="276" t="str">
        <f t="shared" si="2"/>
        <v>7.EXTRAS</v>
      </c>
      <c r="G19" s="151">
        <f>G95</f>
        <v>0</v>
      </c>
      <c r="H19" s="7"/>
      <c r="I19" s="3"/>
      <c r="J19" s="4"/>
      <c r="K19" s="5"/>
      <c r="L19" s="7"/>
      <c r="M19" s="7"/>
      <c r="N19" s="7"/>
      <c r="O19" s="7"/>
      <c r="P19" s="7"/>
    </row>
    <row r="20" spans="1:16" s="6" customFormat="1" ht="20" customHeight="1" thickBot="1">
      <c r="A20" s="66" t="s">
        <v>22</v>
      </c>
      <c r="B20" s="115">
        <f>$E$99</f>
        <v>0</v>
      </c>
      <c r="C20" s="115">
        <f t="shared" si="0"/>
        <v>0</v>
      </c>
      <c r="D20" s="115">
        <f t="shared" si="1"/>
        <v>0</v>
      </c>
      <c r="E20" s="7"/>
      <c r="F20" s="676" t="s">
        <v>145</v>
      </c>
      <c r="G20" s="669">
        <f>G14+G15+G16+G17+G18+G19</f>
        <v>0</v>
      </c>
      <c r="H20" s="7"/>
      <c r="I20" s="3"/>
      <c r="J20" s="4"/>
      <c r="K20" s="5"/>
      <c r="L20" s="7"/>
      <c r="M20" s="7"/>
      <c r="N20" s="7"/>
      <c r="O20" s="7"/>
      <c r="P20" s="7"/>
    </row>
    <row r="21" spans="1:16" ht="35" customHeight="1" thickBot="1">
      <c r="A21" s="67" t="s">
        <v>146</v>
      </c>
      <c r="B21" s="116">
        <f>SUM(B13:B20)</f>
        <v>0</v>
      </c>
      <c r="C21" s="116"/>
      <c r="D21" s="116">
        <f>SUM(D13:D20)</f>
        <v>0</v>
      </c>
      <c r="E21" s="51"/>
      <c r="F21" s="670"/>
      <c r="G21" s="670"/>
    </row>
    <row r="22" spans="1:16" s="8" customFormat="1" ht="11" customHeight="1" thickBot="1">
      <c r="A22" s="16"/>
      <c r="B22" s="56"/>
      <c r="C22" s="6"/>
      <c r="D22" s="7"/>
      <c r="E22" s="7"/>
      <c r="F22" s="7"/>
      <c r="G22" s="17"/>
      <c r="H22" s="7"/>
      <c r="I22" s="7"/>
      <c r="J22" s="7"/>
      <c r="K22" s="7"/>
      <c r="L22" s="7"/>
      <c r="M22" s="7"/>
      <c r="N22" s="7"/>
      <c r="O22" s="7"/>
      <c r="P22" s="7"/>
    </row>
    <row r="23" spans="1:16" ht="44" customHeight="1" thickBot="1">
      <c r="A23" s="68" t="s">
        <v>114</v>
      </c>
      <c r="B23" s="69" t="s">
        <v>52</v>
      </c>
      <c r="C23" s="69" t="s">
        <v>147</v>
      </c>
      <c r="D23" s="69" t="s">
        <v>148</v>
      </c>
      <c r="E23" s="70" t="s">
        <v>149</v>
      </c>
      <c r="F23" s="70" t="s">
        <v>150</v>
      </c>
      <c r="G23" s="70" t="s">
        <v>151</v>
      </c>
    </row>
    <row r="24" spans="1:16" ht="20" customHeight="1">
      <c r="A24" s="71" t="s">
        <v>152</v>
      </c>
      <c r="B24" s="93">
        <v>0</v>
      </c>
      <c r="C24" s="117">
        <f>249200</f>
        <v>249200</v>
      </c>
      <c r="D24" s="118"/>
      <c r="E24" s="119">
        <f>(C24+D24)*$B$9*B24</f>
        <v>0</v>
      </c>
      <c r="F24" s="2">
        <v>0</v>
      </c>
      <c r="G24" s="119">
        <f>E24-(E24*F24)</f>
        <v>0</v>
      </c>
    </row>
    <row r="25" spans="1:16" ht="20" customHeight="1">
      <c r="A25" s="71" t="s">
        <v>153</v>
      </c>
      <c r="B25" s="93">
        <v>1</v>
      </c>
      <c r="C25" s="117">
        <f>249200</f>
        <v>249200</v>
      </c>
      <c r="D25" s="118">
        <v>50000</v>
      </c>
      <c r="E25" s="119">
        <f>(C25+D25)*$B$9*B25</f>
        <v>0</v>
      </c>
      <c r="F25" s="2">
        <v>0</v>
      </c>
      <c r="G25" s="119">
        <f>E25-(E25*F25)</f>
        <v>0</v>
      </c>
    </row>
    <row r="26" spans="1:16" ht="20" customHeight="1">
      <c r="A26" s="71" t="s">
        <v>154</v>
      </c>
      <c r="B26" s="93">
        <v>0</v>
      </c>
      <c r="C26" s="117">
        <f>224280</f>
        <v>224280</v>
      </c>
      <c r="D26" s="118"/>
      <c r="E26" s="119">
        <f>(C26+D26)*$B$9*B26</f>
        <v>0</v>
      </c>
      <c r="F26" s="2">
        <v>0</v>
      </c>
      <c r="G26" s="119">
        <f>E26-(E26*F26)</f>
        <v>0</v>
      </c>
    </row>
    <row r="27" spans="1:16" ht="20" customHeight="1" thickBot="1">
      <c r="A27" s="71" t="s">
        <v>155</v>
      </c>
      <c r="B27" s="93">
        <v>0</v>
      </c>
      <c r="C27" s="117">
        <f>224280</f>
        <v>224280</v>
      </c>
      <c r="D27" s="118">
        <v>50000</v>
      </c>
      <c r="E27" s="119">
        <f>(C27+D27)*$B$9*B27</f>
        <v>0</v>
      </c>
      <c r="F27" s="2">
        <v>0</v>
      </c>
      <c r="G27" s="119">
        <f>E27-(E27*F27)</f>
        <v>0</v>
      </c>
    </row>
    <row r="28" spans="1:16" ht="29" customHeight="1" thickBot="1">
      <c r="A28" s="672" t="s">
        <v>156</v>
      </c>
      <c r="B28" s="673"/>
      <c r="C28" s="673"/>
      <c r="D28" s="673"/>
      <c r="E28" s="72"/>
      <c r="F28" s="73"/>
      <c r="G28" s="120">
        <f>SUM(G24:G27)</f>
        <v>0</v>
      </c>
    </row>
    <row r="29" spans="1:16" s="8" customFormat="1" ht="11" customHeight="1" thickBot="1">
      <c r="A29" s="16"/>
      <c r="B29" s="56"/>
      <c r="C29" s="6"/>
      <c r="D29" s="7"/>
      <c r="E29" s="7"/>
      <c r="F29" s="7"/>
      <c r="G29" s="17"/>
      <c r="H29" s="7"/>
      <c r="I29" s="286"/>
      <c r="J29" s="7"/>
      <c r="K29" s="7"/>
      <c r="L29" s="7"/>
      <c r="M29" s="7"/>
      <c r="N29" s="7"/>
      <c r="O29" s="7"/>
      <c r="P29" s="7"/>
    </row>
    <row r="30" spans="1:16" s="10" customFormat="1" ht="40" customHeight="1" thickBot="1">
      <c r="A30" s="18" t="s">
        <v>51</v>
      </c>
      <c r="B30" s="159" t="s">
        <v>52</v>
      </c>
      <c r="C30" s="160" t="s">
        <v>53</v>
      </c>
      <c r="D30" s="153" t="s">
        <v>54</v>
      </c>
      <c r="E30" s="149" t="s">
        <v>157</v>
      </c>
      <c r="F30" s="103" t="s">
        <v>158</v>
      </c>
      <c r="G30" s="147" t="s">
        <v>159</v>
      </c>
      <c r="I30" s="286"/>
    </row>
    <row r="31" spans="1:16" ht="20" customHeight="1" thickBot="1">
      <c r="A31" s="154" t="str">
        <f>'BASE PAX'!A6</f>
        <v>BREAKFAST</v>
      </c>
      <c r="B31" s="285">
        <f>(B5*B9*'BASE PAX'!G6)+('BASE PAX'!H6*B6*B9)</f>
        <v>0</v>
      </c>
      <c r="C31" s="121"/>
      <c r="D31" s="144"/>
      <c r="E31" s="283">
        <v>0</v>
      </c>
      <c r="F31" s="122">
        <f t="shared" ref="F31:F46" si="3">B31*C31</f>
        <v>0</v>
      </c>
      <c r="G31" s="325">
        <f>0.2*B31</f>
        <v>0</v>
      </c>
      <c r="H31" s="351" t="str">
        <f>A31</f>
        <v>BREAKFAST</v>
      </c>
      <c r="I31" s="353">
        <f>B31</f>
        <v>0</v>
      </c>
    </row>
    <row r="32" spans="1:16" ht="20" customHeight="1">
      <c r="A32" s="155" t="str">
        <f>'BASE PAX'!A7</f>
        <v>LUNCH 1</v>
      </c>
      <c r="B32" s="74">
        <f>($B$5+$B$6)*'BASE PAX'!B7</f>
        <v>0</v>
      </c>
      <c r="C32" s="123">
        <f>'BASE PAX'!C7</f>
        <v>40000</v>
      </c>
      <c r="D32" s="125">
        <f>'BASE PAX'!D7</f>
        <v>48000</v>
      </c>
      <c r="E32" s="151">
        <f t="shared" ref="E32:E46" si="4">D32*B32</f>
        <v>0</v>
      </c>
      <c r="F32" s="124">
        <f t="shared" si="3"/>
        <v>0</v>
      </c>
      <c r="G32" s="146">
        <f t="shared" ref="G32:G46" si="5">E32-F32</f>
        <v>0</v>
      </c>
      <c r="I32" s="290"/>
    </row>
    <row r="33" spans="1:11" ht="20" customHeight="1">
      <c r="A33" s="155" t="str">
        <f>'BASE PAX'!A8</f>
        <v>LUNCH 2</v>
      </c>
      <c r="B33" s="74">
        <f>($B$5+$B$6)*'BASE PAX'!B8</f>
        <v>0</v>
      </c>
      <c r="C33" s="123">
        <f>'BASE PAX'!C8</f>
        <v>40000</v>
      </c>
      <c r="D33" s="125">
        <f>'BASE PAX'!D8</f>
        <v>48000</v>
      </c>
      <c r="E33" s="151">
        <f t="shared" si="4"/>
        <v>0</v>
      </c>
      <c r="F33" s="124">
        <f t="shared" si="3"/>
        <v>0</v>
      </c>
      <c r="G33" s="146">
        <f t="shared" si="5"/>
        <v>0</v>
      </c>
      <c r="I33" s="290"/>
    </row>
    <row r="34" spans="1:11" ht="20" customHeight="1">
      <c r="A34" s="155" t="str">
        <f>'BASE PAX'!A9</f>
        <v>LUNCH 3</v>
      </c>
      <c r="B34" s="74">
        <f>($B$5+$B$6)*'BASE PAX'!B9</f>
        <v>0</v>
      </c>
      <c r="C34" s="123">
        <f>'BASE PAX'!C9</f>
        <v>40000</v>
      </c>
      <c r="D34" s="125">
        <f>'BASE PAX'!D9</f>
        <v>48000</v>
      </c>
      <c r="E34" s="151">
        <f t="shared" si="4"/>
        <v>0</v>
      </c>
      <c r="F34" s="124">
        <f t="shared" si="3"/>
        <v>0</v>
      </c>
      <c r="G34" s="146">
        <f t="shared" si="5"/>
        <v>0</v>
      </c>
      <c r="I34" s="290"/>
    </row>
    <row r="35" spans="1:11" ht="20" customHeight="1">
      <c r="A35" s="155" t="str">
        <f>'BASE PAX'!A10</f>
        <v>LUNCH 4</v>
      </c>
      <c r="B35" s="74">
        <f>($B$5+$B$6)*'BASE PAX'!B10</f>
        <v>0</v>
      </c>
      <c r="C35" s="123">
        <f>'BASE PAX'!C10</f>
        <v>45000</v>
      </c>
      <c r="D35" s="125">
        <f>'BASE PAX'!D10</f>
        <v>54000</v>
      </c>
      <c r="E35" s="151">
        <f t="shared" si="4"/>
        <v>0</v>
      </c>
      <c r="F35" s="124">
        <f t="shared" si="3"/>
        <v>0</v>
      </c>
      <c r="G35" s="146">
        <f t="shared" si="5"/>
        <v>0</v>
      </c>
      <c r="I35" s="290"/>
    </row>
    <row r="36" spans="1:11" ht="20" customHeight="1">
      <c r="A36" s="155" t="str">
        <f>'BASE PAX'!A11</f>
        <v>LUNCH 5</v>
      </c>
      <c r="B36" s="74">
        <f>($B$5+($B$6*0.6))*'BASE PAX'!B11</f>
        <v>0</v>
      </c>
      <c r="C36" s="123">
        <f>'BASE PAX'!C11</f>
        <v>50000</v>
      </c>
      <c r="D36" s="125">
        <f>'BASE PAX'!D11</f>
        <v>60000</v>
      </c>
      <c r="E36" s="151">
        <f t="shared" si="4"/>
        <v>0</v>
      </c>
      <c r="F36" s="124">
        <f t="shared" si="3"/>
        <v>0</v>
      </c>
      <c r="G36" s="146">
        <f t="shared" si="5"/>
        <v>0</v>
      </c>
      <c r="I36" s="290"/>
    </row>
    <row r="37" spans="1:11" ht="20" customHeight="1">
      <c r="A37" s="155" t="str">
        <f>'BASE PAX'!A12</f>
        <v>LUNCH 6</v>
      </c>
      <c r="B37" s="74">
        <f>($B$5+$B$6)*'BASE PAX'!B12</f>
        <v>0</v>
      </c>
      <c r="C37" s="123">
        <f>'BASE PAX'!C12</f>
        <v>0</v>
      </c>
      <c r="D37" s="125">
        <f>'BASE PAX'!D12</f>
        <v>0</v>
      </c>
      <c r="E37" s="151">
        <f t="shared" si="4"/>
        <v>0</v>
      </c>
      <c r="F37" s="124">
        <f t="shared" si="3"/>
        <v>0</v>
      </c>
      <c r="G37" s="146">
        <f t="shared" si="5"/>
        <v>0</v>
      </c>
      <c r="I37" s="290"/>
    </row>
    <row r="38" spans="1:11" ht="20" customHeight="1">
      <c r="A38" s="155" t="str">
        <f>'BASE PAX'!A13</f>
        <v>LUNCH 7</v>
      </c>
      <c r="B38" s="74">
        <f>($B$5+$B$6)*'BASE PAX'!B13</f>
        <v>0</v>
      </c>
      <c r="C38" s="123">
        <f>'BASE PAX'!C13</f>
        <v>5000</v>
      </c>
      <c r="D38" s="125">
        <f>'BASE PAX'!D13</f>
        <v>6000</v>
      </c>
      <c r="E38" s="151">
        <f t="shared" si="4"/>
        <v>0</v>
      </c>
      <c r="F38" s="124">
        <f t="shared" si="3"/>
        <v>0</v>
      </c>
      <c r="G38" s="146">
        <f t="shared" si="5"/>
        <v>0</v>
      </c>
      <c r="I38" s="290"/>
    </row>
    <row r="39" spans="1:11" ht="20" customHeight="1">
      <c r="A39" s="156" t="str">
        <f>'BASE PAX'!A14</f>
        <v>SNACKS</v>
      </c>
      <c r="B39" s="74">
        <f>($B$5+$B$6)*'BASE PAX'!B14</f>
        <v>0</v>
      </c>
      <c r="C39" s="125">
        <f>'BASE PAX'!C14</f>
        <v>8000</v>
      </c>
      <c r="D39" s="145">
        <f>'BASE PAX'!D14</f>
        <v>9600</v>
      </c>
      <c r="E39" s="150">
        <f t="shared" si="4"/>
        <v>0</v>
      </c>
      <c r="F39" s="122">
        <f t="shared" si="3"/>
        <v>0</v>
      </c>
      <c r="G39" s="146">
        <f t="shared" si="5"/>
        <v>0</v>
      </c>
      <c r="I39" s="290"/>
    </row>
    <row r="40" spans="1:11" ht="20" customHeight="1">
      <c r="A40" s="155" t="str">
        <f>'BASE PAX'!A15</f>
        <v>DINNER 1</v>
      </c>
      <c r="B40" s="74">
        <f>($B$5+($B$6*0.6))*'BASE PAX'!B15</f>
        <v>0</v>
      </c>
      <c r="C40" s="123">
        <f>'BASE PAX'!C15</f>
        <v>70000</v>
      </c>
      <c r="D40" s="125">
        <f>'BASE PAX'!D15</f>
        <v>84000</v>
      </c>
      <c r="E40" s="151">
        <f t="shared" si="4"/>
        <v>0</v>
      </c>
      <c r="F40" s="124">
        <f t="shared" si="3"/>
        <v>0</v>
      </c>
      <c r="G40" s="146">
        <f t="shared" si="5"/>
        <v>0</v>
      </c>
      <c r="H40" s="287"/>
      <c r="I40" s="291"/>
    </row>
    <row r="41" spans="1:11" ht="20" customHeight="1">
      <c r="A41" s="155" t="str">
        <f>'BASE PAX'!A16</f>
        <v>DINNER 2</v>
      </c>
      <c r="B41" s="74">
        <f>($B$5+($B$6*0.6))*'BASE PAX'!B16</f>
        <v>0</v>
      </c>
      <c r="C41" s="123">
        <f>'BASE PAX'!C16</f>
        <v>25000</v>
      </c>
      <c r="D41" s="125">
        <f>'BASE PAX'!D16</f>
        <v>30000</v>
      </c>
      <c r="E41" s="151">
        <f t="shared" si="4"/>
        <v>0</v>
      </c>
      <c r="F41" s="124">
        <f t="shared" si="3"/>
        <v>0</v>
      </c>
      <c r="G41" s="146">
        <f t="shared" si="5"/>
        <v>0</v>
      </c>
      <c r="I41" s="290"/>
    </row>
    <row r="42" spans="1:11" ht="20" customHeight="1">
      <c r="A42" s="155" t="str">
        <f>'BASE PAX'!A17</f>
        <v>DINNER 3</v>
      </c>
      <c r="B42" s="74">
        <f>($B$5+($B$6*0.6))*'BASE PAX'!B17</f>
        <v>0</v>
      </c>
      <c r="C42" s="123">
        <f>'BASE PAX'!C17</f>
        <v>50000</v>
      </c>
      <c r="D42" s="125">
        <f>'BASE PAX'!D17</f>
        <v>60000</v>
      </c>
      <c r="E42" s="151">
        <f t="shared" si="4"/>
        <v>0</v>
      </c>
      <c r="F42" s="124">
        <f t="shared" si="3"/>
        <v>0</v>
      </c>
      <c r="G42" s="146">
        <f t="shared" si="5"/>
        <v>0</v>
      </c>
      <c r="I42" s="290"/>
    </row>
    <row r="43" spans="1:11" ht="20" customHeight="1">
      <c r="A43" s="155" t="str">
        <f>'BASE PAX'!A18</f>
        <v>DINNER 4</v>
      </c>
      <c r="B43" s="74">
        <f>($B$5+$B$6)*'BASE PAX'!B18</f>
        <v>0</v>
      </c>
      <c r="C43" s="123">
        <f>'BASE PAX'!C18</f>
        <v>65000</v>
      </c>
      <c r="D43" s="125">
        <f>'BASE PAX'!D18</f>
        <v>78000</v>
      </c>
      <c r="E43" s="151">
        <f t="shared" si="4"/>
        <v>0</v>
      </c>
      <c r="F43" s="124">
        <f t="shared" si="3"/>
        <v>0</v>
      </c>
      <c r="G43" s="146">
        <f t="shared" si="5"/>
        <v>0</v>
      </c>
      <c r="I43" s="9"/>
    </row>
    <row r="44" spans="1:11" ht="20" customHeight="1">
      <c r="A44" s="155" t="str">
        <f>'BASE PAX'!A19</f>
        <v>DINNER 5</v>
      </c>
      <c r="B44" s="74">
        <f>($B$5+($B$6*0.6))*'BASE PAX'!B19</f>
        <v>0</v>
      </c>
      <c r="C44" s="123">
        <f>'BASE PAX'!C19</f>
        <v>75000</v>
      </c>
      <c r="D44" s="125">
        <f>'BASE PAX'!D19</f>
        <v>90000</v>
      </c>
      <c r="E44" s="151">
        <f t="shared" si="4"/>
        <v>0</v>
      </c>
      <c r="F44" s="124">
        <f t="shared" si="3"/>
        <v>0</v>
      </c>
      <c r="G44" s="146">
        <f t="shared" si="5"/>
        <v>0</v>
      </c>
      <c r="I44" s="9"/>
    </row>
    <row r="45" spans="1:11" ht="20" customHeight="1">
      <c r="A45" s="155" t="str">
        <f>'BASE PAX'!A20</f>
        <v>DINNER 6</v>
      </c>
      <c r="B45" s="74">
        <f>($B$5+$B$6)*'BASE PAX'!B20</f>
        <v>0</v>
      </c>
      <c r="C45" s="123">
        <f>'BASE PAX'!C20</f>
        <v>0</v>
      </c>
      <c r="D45" s="125">
        <f>'BASE PAX'!D20</f>
        <v>0</v>
      </c>
      <c r="E45" s="151">
        <f t="shared" si="4"/>
        <v>0</v>
      </c>
      <c r="F45" s="124">
        <f t="shared" si="3"/>
        <v>0</v>
      </c>
      <c r="G45" s="146">
        <f t="shared" si="5"/>
        <v>0</v>
      </c>
      <c r="I45" s="9"/>
    </row>
    <row r="46" spans="1:11" ht="20" customHeight="1" thickBot="1">
      <c r="A46" s="155" t="str">
        <f>'BASE PAX'!A21</f>
        <v>DINNER 7</v>
      </c>
      <c r="B46" s="74">
        <f>($B$5+($B$6*0.6))*'BASE PAX'!B21</f>
        <v>0</v>
      </c>
      <c r="C46" s="123">
        <f>'BASE PAX'!C21</f>
        <v>75000</v>
      </c>
      <c r="D46" s="125">
        <f>'BASE PAX'!D21</f>
        <v>90000</v>
      </c>
      <c r="E46" s="151">
        <f t="shared" si="4"/>
        <v>0</v>
      </c>
      <c r="F46" s="124">
        <f t="shared" si="3"/>
        <v>0</v>
      </c>
      <c r="G46" s="146">
        <f t="shared" si="5"/>
        <v>0</v>
      </c>
      <c r="I46" s="10"/>
    </row>
    <row r="47" spans="1:11" ht="20" customHeight="1">
      <c r="A47" s="155" t="str">
        <f>'BASE PAX'!A22</f>
        <v>QUANT. TOTAL | PADRAO ALMOÇO</v>
      </c>
      <c r="B47" s="74">
        <f>'BASE PAX'!B22</f>
        <v>0</v>
      </c>
      <c r="C47" s="123"/>
      <c r="D47" s="125"/>
      <c r="E47" s="151"/>
      <c r="F47" s="124"/>
      <c r="G47" s="325">
        <f>0.2*I47</f>
        <v>0</v>
      </c>
      <c r="H47" s="338" t="str">
        <f>A47</f>
        <v>QUANT. TOTAL | PADRAO ALMOÇO</v>
      </c>
      <c r="I47" s="349">
        <f>(B5*B47*'BASE PAX'!G22)+(B6*B47*'BASE PAX'!H22)</f>
        <v>0</v>
      </c>
      <c r="J47" s="328"/>
      <c r="K47" s="329"/>
    </row>
    <row r="48" spans="1:11" ht="20" customHeight="1" thickBot="1">
      <c r="A48" s="163" t="str">
        <f>'BASE PAX'!A23</f>
        <v>QUANT. TOTAL | PADRAO JANTAR</v>
      </c>
      <c r="B48" s="164">
        <f>'BASE PAX'!B23</f>
        <v>0</v>
      </c>
      <c r="C48" s="165"/>
      <c r="D48" s="166"/>
      <c r="E48" s="167"/>
      <c r="F48" s="168"/>
      <c r="G48" s="326">
        <f>0.2*I48</f>
        <v>0</v>
      </c>
      <c r="H48" s="347" t="str">
        <f>A48</f>
        <v>QUANT. TOTAL | PADRAO JANTAR</v>
      </c>
      <c r="I48" s="335">
        <f>(B5*B48*'BASE PAX'!G23)+(B6*B48*'BASE PAX'!H23)</f>
        <v>0</v>
      </c>
      <c r="J48" s="330"/>
      <c r="K48" s="331"/>
    </row>
    <row r="49" spans="1:16" ht="29" customHeight="1" thickBot="1">
      <c r="A49" s="161" t="s">
        <v>72</v>
      </c>
      <c r="B49" s="157"/>
      <c r="C49" s="158"/>
      <c r="D49" s="303"/>
      <c r="E49" s="104">
        <f>SUM(E31:E48)</f>
        <v>0</v>
      </c>
      <c r="F49" s="104">
        <f>SUM(F31:F48)</f>
        <v>0</v>
      </c>
      <c r="G49" s="327">
        <f>SUM(G31:G48)</f>
        <v>0</v>
      </c>
      <c r="H49" s="341" t="s">
        <v>55</v>
      </c>
      <c r="I49" s="342">
        <f>I31+I47+I48</f>
        <v>0</v>
      </c>
      <c r="J49" s="358">
        <f>I49+E49</f>
        <v>0</v>
      </c>
      <c r="K49" s="332" t="s">
        <v>160</v>
      </c>
    </row>
    <row r="50" spans="1:16" s="8" customFormat="1" ht="11" customHeight="1" thickBot="1">
      <c r="A50" s="16"/>
      <c r="B50" s="56"/>
      <c r="C50" s="105"/>
      <c r="D50" s="102"/>
      <c r="E50" s="102"/>
      <c r="F50" s="7"/>
      <c r="G50" s="17"/>
      <c r="H50" s="7"/>
      <c r="I50" s="7"/>
      <c r="J50" s="7"/>
      <c r="K50" s="7"/>
      <c r="L50" s="7"/>
      <c r="M50" s="7"/>
      <c r="N50" s="7"/>
      <c r="O50" s="7"/>
      <c r="P50" s="7"/>
    </row>
    <row r="51" spans="1:16" ht="34" customHeight="1" thickBot="1">
      <c r="A51" s="21" t="s">
        <v>161</v>
      </c>
      <c r="B51" s="207" t="s">
        <v>52</v>
      </c>
      <c r="C51" s="208" t="s">
        <v>53</v>
      </c>
      <c r="D51" s="209" t="s">
        <v>54</v>
      </c>
      <c r="E51" s="172" t="s">
        <v>55</v>
      </c>
      <c r="F51" s="142" t="s">
        <v>158</v>
      </c>
      <c r="G51" s="182" t="s">
        <v>159</v>
      </c>
    </row>
    <row r="52" spans="1:16" ht="20" customHeight="1">
      <c r="A52" s="76" t="str">
        <f>'BASE PAX'!A27</f>
        <v>SUCOS</v>
      </c>
      <c r="B52" s="205">
        <f>'BASE PAX'!B27</f>
        <v>0</v>
      </c>
      <c r="C52" s="193">
        <f>'BASE PAX'!C27</f>
        <v>0</v>
      </c>
      <c r="D52" s="206">
        <f t="shared" ref="D52:D58" si="6">(C52*0.2)+C52</f>
        <v>0</v>
      </c>
      <c r="E52" s="174">
        <f t="shared" ref="E52:E58" si="7">D52*B52</f>
        <v>0</v>
      </c>
      <c r="F52" s="173">
        <f t="shared" ref="F52:F58" si="8">B52*C52</f>
        <v>0</v>
      </c>
      <c r="G52" s="183">
        <f t="shared" ref="G52:G59" si="9">E52-F52</f>
        <v>0</v>
      </c>
    </row>
    <row r="53" spans="1:16" ht="20" customHeight="1">
      <c r="A53" s="76" t="str">
        <f>'BASE PAX'!A28</f>
        <v>SUCOS</v>
      </c>
      <c r="B53" s="205">
        <f>'BASE PAX'!B28</f>
        <v>0</v>
      </c>
      <c r="C53" s="175">
        <f>'BASE PAX'!C28</f>
        <v>0</v>
      </c>
      <c r="D53" s="176">
        <f t="shared" si="6"/>
        <v>0</v>
      </c>
      <c r="E53" s="174">
        <f t="shared" si="7"/>
        <v>0</v>
      </c>
      <c r="F53" s="173">
        <f t="shared" si="8"/>
        <v>0</v>
      </c>
      <c r="G53" s="183">
        <f t="shared" si="9"/>
        <v>0</v>
      </c>
    </row>
    <row r="54" spans="1:16" ht="20" customHeight="1">
      <c r="A54" s="87" t="str">
        <f>'BASE PAX'!A29</f>
        <v>CERVEJAS</v>
      </c>
      <c r="B54" s="205">
        <f>'BASE PAX'!B29</f>
        <v>0</v>
      </c>
      <c r="C54" s="175">
        <f>'BASE PAX'!C29</f>
        <v>2000</v>
      </c>
      <c r="D54" s="176">
        <f t="shared" si="6"/>
        <v>2400</v>
      </c>
      <c r="E54" s="174">
        <f t="shared" si="7"/>
        <v>0</v>
      </c>
      <c r="F54" s="173">
        <f t="shared" si="8"/>
        <v>0</v>
      </c>
      <c r="G54" s="183">
        <f t="shared" si="9"/>
        <v>0</v>
      </c>
    </row>
    <row r="55" spans="1:16" ht="20" customHeight="1">
      <c r="A55" s="87" t="str">
        <f>'BASE PAX'!A30</f>
        <v>VINHOS</v>
      </c>
      <c r="B55" s="205">
        <f>'BASE PAX'!B30</f>
        <v>0</v>
      </c>
      <c r="C55" s="175">
        <f>'BASE PAX'!C30</f>
        <v>8000</v>
      </c>
      <c r="D55" s="176">
        <f t="shared" si="6"/>
        <v>9600</v>
      </c>
      <c r="E55" s="174">
        <f t="shared" si="7"/>
        <v>0</v>
      </c>
      <c r="F55" s="173">
        <f t="shared" si="8"/>
        <v>0</v>
      </c>
      <c r="G55" s="183">
        <f t="shared" si="9"/>
        <v>0</v>
      </c>
    </row>
    <row r="56" spans="1:16" ht="20" customHeight="1">
      <c r="A56" s="87" t="str">
        <f>'BASE PAX'!A31</f>
        <v>DRINKS</v>
      </c>
      <c r="B56" s="205">
        <f>'BASE PAX'!B31</f>
        <v>0</v>
      </c>
      <c r="C56" s="175">
        <f>'BASE PAX'!C31</f>
        <v>15000</v>
      </c>
      <c r="D56" s="176">
        <f t="shared" si="6"/>
        <v>18000</v>
      </c>
      <c r="E56" s="174">
        <f t="shared" si="7"/>
        <v>0</v>
      </c>
      <c r="F56" s="173">
        <f t="shared" si="8"/>
        <v>0</v>
      </c>
      <c r="G56" s="183">
        <f t="shared" si="9"/>
        <v>0</v>
      </c>
    </row>
    <row r="57" spans="1:16" ht="20" customHeight="1">
      <c r="A57" s="87" t="str">
        <f>'BASE PAX'!A32</f>
        <v>COOLER</v>
      </c>
      <c r="B57" s="205">
        <f>'BASE PAX'!B32</f>
        <v>0</v>
      </c>
      <c r="C57" s="175">
        <f>'BASE PAX'!C32</f>
        <v>5000</v>
      </c>
      <c r="D57" s="176">
        <f t="shared" si="6"/>
        <v>6000</v>
      </c>
      <c r="E57" s="174">
        <f t="shared" si="7"/>
        <v>0</v>
      </c>
      <c r="F57" s="173">
        <f t="shared" si="8"/>
        <v>0</v>
      </c>
      <c r="G57" s="183">
        <f t="shared" si="9"/>
        <v>0</v>
      </c>
    </row>
    <row r="58" spans="1:16" ht="20" customHeight="1" thickBot="1">
      <c r="A58" s="180">
        <f>'BASE PAX'!A33</f>
        <v>0</v>
      </c>
      <c r="B58" s="205">
        <f>'BASE PAX'!B33</f>
        <v>0</v>
      </c>
      <c r="C58" s="178">
        <f>'BASE PAX'!C33</f>
        <v>0</v>
      </c>
      <c r="D58" s="179">
        <f t="shared" si="6"/>
        <v>0</v>
      </c>
      <c r="E58" s="184">
        <f t="shared" si="7"/>
        <v>0</v>
      </c>
      <c r="F58" s="185">
        <f t="shared" si="8"/>
        <v>0</v>
      </c>
      <c r="G58" s="186">
        <f t="shared" si="9"/>
        <v>0</v>
      </c>
    </row>
    <row r="59" spans="1:16" ht="48" customHeight="1" thickBot="1">
      <c r="A59" s="21" t="s">
        <v>79</v>
      </c>
      <c r="B59" s="77"/>
      <c r="C59" s="126"/>
      <c r="D59" s="181"/>
      <c r="E59" s="127">
        <f>SUM(E52:E58)</f>
        <v>0</v>
      </c>
      <c r="F59" s="188">
        <f>SUM(F52:F58)</f>
        <v>0</v>
      </c>
      <c r="G59" s="189">
        <f t="shared" si="9"/>
        <v>0</v>
      </c>
    </row>
    <row r="60" spans="1:16" s="8" customFormat="1" ht="11" customHeight="1" thickBot="1">
      <c r="A60" s="16"/>
      <c r="B60" s="56"/>
      <c r="C60" s="105"/>
      <c r="D60" s="102"/>
      <c r="E60" s="102"/>
      <c r="F60" s="7"/>
      <c r="G60" s="17"/>
      <c r="H60" s="7"/>
      <c r="I60" s="7"/>
      <c r="J60" s="7"/>
      <c r="K60" s="7"/>
      <c r="L60" s="7"/>
      <c r="M60" s="7"/>
      <c r="N60" s="7"/>
      <c r="O60" s="7"/>
      <c r="P60" s="7"/>
    </row>
    <row r="61" spans="1:16" s="10" customFormat="1" ht="42" customHeight="1" thickBot="1">
      <c r="A61" s="226" t="s">
        <v>18</v>
      </c>
      <c r="B61" s="227" t="s">
        <v>52</v>
      </c>
      <c r="C61" s="228" t="s">
        <v>53</v>
      </c>
      <c r="D61" s="229" t="s">
        <v>54</v>
      </c>
      <c r="E61" s="229" t="s">
        <v>55</v>
      </c>
      <c r="F61" s="228" t="s">
        <v>158</v>
      </c>
      <c r="G61" s="230" t="s">
        <v>159</v>
      </c>
    </row>
    <row r="62" spans="1:16" ht="20" customHeight="1">
      <c r="A62" s="223" t="str">
        <f>'BASE PAX'!A37</f>
        <v>HOTTUBE</v>
      </c>
      <c r="B62" s="224">
        <f>'BASE PAX'!B37</f>
        <v>0</v>
      </c>
      <c r="C62" s="195">
        <f>'BASE PAX'!C37</f>
        <v>12000</v>
      </c>
      <c r="D62" s="225">
        <f t="shared" ref="D62:D71" si="10">C62*0.2+C62</f>
        <v>14400</v>
      </c>
      <c r="E62" s="225">
        <f t="shared" ref="E62:E71" si="11">D62*B62</f>
        <v>0</v>
      </c>
      <c r="F62" s="195">
        <f t="shared" ref="F62:F72" si="12">B62*C62</f>
        <v>0</v>
      </c>
      <c r="G62" s="194">
        <f t="shared" ref="G62:G72" si="13">E62-F62</f>
        <v>0</v>
      </c>
    </row>
    <row r="63" spans="1:16" ht="20" customHeight="1">
      <c r="A63" s="219" t="str">
        <f>'BASE PAX'!A38</f>
        <v>TREKKING 1/2 DAY</v>
      </c>
      <c r="B63" s="224">
        <f>'BASE PAX'!B38</f>
        <v>0</v>
      </c>
      <c r="C63" s="196">
        <f>'BASE PAX'!C38</f>
        <v>60000</v>
      </c>
      <c r="D63" s="220">
        <f t="shared" si="10"/>
        <v>72000</v>
      </c>
      <c r="E63" s="220">
        <f t="shared" si="11"/>
        <v>0</v>
      </c>
      <c r="F63" s="196">
        <f t="shared" si="12"/>
        <v>0</v>
      </c>
      <c r="G63" s="190">
        <f t="shared" si="13"/>
        <v>0</v>
      </c>
    </row>
    <row r="64" spans="1:16" ht="20" customHeight="1">
      <c r="A64" s="219" t="str">
        <f>'BASE PAX'!A39</f>
        <v>TREKKING FUK DAY</v>
      </c>
      <c r="B64" s="224">
        <f>'BASE PAX'!B39</f>
        <v>0</v>
      </c>
      <c r="C64" s="196">
        <f>'BASE PAX'!C39</f>
        <v>90000</v>
      </c>
      <c r="D64" s="220">
        <f t="shared" si="10"/>
        <v>108000</v>
      </c>
      <c r="E64" s="220">
        <f t="shared" si="11"/>
        <v>0</v>
      </c>
      <c r="F64" s="196">
        <f t="shared" si="12"/>
        <v>0</v>
      </c>
      <c r="G64" s="190">
        <f t="shared" si="13"/>
        <v>0</v>
      </c>
    </row>
    <row r="65" spans="1:16" ht="20" customHeight="1">
      <c r="A65" s="219" t="str">
        <f>'BASE PAX'!A40</f>
        <v>FLOTADA FAMILIAR</v>
      </c>
      <c r="B65" s="224">
        <f>'BASE PAX'!B40</f>
        <v>0</v>
      </c>
      <c r="C65" s="196">
        <f>'BASE PAX'!C40</f>
        <v>60000</v>
      </c>
      <c r="D65" s="220">
        <f t="shared" si="10"/>
        <v>72000</v>
      </c>
      <c r="E65" s="220">
        <f t="shared" si="11"/>
        <v>0</v>
      </c>
      <c r="F65" s="196">
        <f t="shared" si="12"/>
        <v>0</v>
      </c>
      <c r="G65" s="190">
        <f t="shared" si="13"/>
        <v>0</v>
      </c>
    </row>
    <row r="66" spans="1:16" ht="20" customHeight="1">
      <c r="A66" s="219" t="str">
        <f>'BASE PAX'!A41</f>
        <v>RAFTING 1/2 DAY</v>
      </c>
      <c r="B66" s="224">
        <f>'BASE PAX'!B41</f>
        <v>0</v>
      </c>
      <c r="C66" s="196">
        <f>'BASE PAX'!C41</f>
        <v>75000</v>
      </c>
      <c r="D66" s="220">
        <f t="shared" si="10"/>
        <v>90000</v>
      </c>
      <c r="E66" s="220">
        <f t="shared" si="11"/>
        <v>0</v>
      </c>
      <c r="F66" s="196">
        <f t="shared" si="12"/>
        <v>0</v>
      </c>
      <c r="G66" s="190">
        <f t="shared" si="13"/>
        <v>0</v>
      </c>
    </row>
    <row r="67" spans="1:16" ht="20" customHeight="1">
      <c r="A67" s="219" t="str">
        <f>'BASE PAX'!A42</f>
        <v>RAFTING FULL DAY</v>
      </c>
      <c r="B67" s="224">
        <f>'BASE PAX'!B42</f>
        <v>0</v>
      </c>
      <c r="C67" s="196">
        <f>'BASE PAX'!C42</f>
        <v>110000</v>
      </c>
      <c r="D67" s="220">
        <f t="shared" si="10"/>
        <v>132000</v>
      </c>
      <c r="E67" s="220">
        <f t="shared" si="11"/>
        <v>0</v>
      </c>
      <c r="F67" s="196">
        <f t="shared" si="12"/>
        <v>0</v>
      </c>
      <c r="G67" s="190">
        <f t="shared" si="13"/>
        <v>0</v>
      </c>
    </row>
    <row r="68" spans="1:16" ht="20" customHeight="1">
      <c r="A68" s="219" t="str">
        <f>'BASE PAX'!A43</f>
        <v>CABALGADA 1/2 DAy</v>
      </c>
      <c r="B68" s="224">
        <f>'BASE PAX'!B43</f>
        <v>0</v>
      </c>
      <c r="C68" s="196">
        <f>'BASE PAX'!C43</f>
        <v>90000</v>
      </c>
      <c r="D68" s="220">
        <f t="shared" si="10"/>
        <v>108000</v>
      </c>
      <c r="E68" s="220">
        <f t="shared" si="11"/>
        <v>0</v>
      </c>
      <c r="F68" s="196">
        <f t="shared" si="12"/>
        <v>0</v>
      </c>
      <c r="G68" s="190">
        <f t="shared" si="13"/>
        <v>0</v>
      </c>
    </row>
    <row r="69" spans="1:16" ht="20" customHeight="1">
      <c r="A69" s="219" t="str">
        <f>'BASE PAX'!A44</f>
        <v>CABALGADA FULL DAY</v>
      </c>
      <c r="B69" s="224">
        <f>'BASE PAX'!B44</f>
        <v>0</v>
      </c>
      <c r="C69" s="196">
        <f>'BASE PAX'!C44</f>
        <v>140000</v>
      </c>
      <c r="D69" s="220">
        <f t="shared" si="10"/>
        <v>168000</v>
      </c>
      <c r="E69" s="220">
        <f t="shared" si="11"/>
        <v>0</v>
      </c>
      <c r="F69" s="196">
        <f t="shared" si="12"/>
        <v>0</v>
      </c>
      <c r="G69" s="190">
        <f t="shared" si="13"/>
        <v>0</v>
      </c>
    </row>
    <row r="70" spans="1:16" ht="20" customHeight="1">
      <c r="A70" s="219" t="str">
        <f>'BASE PAX'!A45</f>
        <v>LANCHA YELCHO</v>
      </c>
      <c r="B70" s="224">
        <f>'BASE PAX'!B45</f>
        <v>0</v>
      </c>
      <c r="C70" s="196">
        <f>'BASE PAX'!C45</f>
        <v>120000</v>
      </c>
      <c r="D70" s="220">
        <f t="shared" si="10"/>
        <v>144000</v>
      </c>
      <c r="E70" s="220">
        <f t="shared" si="11"/>
        <v>0</v>
      </c>
      <c r="F70" s="196">
        <f t="shared" si="12"/>
        <v>0</v>
      </c>
      <c r="G70" s="190">
        <f t="shared" si="13"/>
        <v>0</v>
      </c>
    </row>
    <row r="71" spans="1:16" ht="20" customHeight="1" thickBot="1">
      <c r="A71" s="221" t="str">
        <f>'BASE PAX'!A46</f>
        <v>RECREACAO INFANTIL 3HS</v>
      </c>
      <c r="B71" s="224">
        <f>'BASE PAX'!B46</f>
        <v>0</v>
      </c>
      <c r="C71" s="197">
        <f>'BASE PAX'!C46</f>
        <v>30000</v>
      </c>
      <c r="D71" s="220">
        <f t="shared" si="10"/>
        <v>36000</v>
      </c>
      <c r="E71" s="222">
        <f t="shared" si="11"/>
        <v>0</v>
      </c>
      <c r="F71" s="197">
        <f t="shared" si="12"/>
        <v>0</v>
      </c>
      <c r="G71" s="192">
        <f t="shared" si="13"/>
        <v>0</v>
      </c>
    </row>
    <row r="72" spans="1:16" ht="48" customHeight="1" thickBot="1">
      <c r="A72" s="22" t="s">
        <v>84</v>
      </c>
      <c r="B72" s="79"/>
      <c r="C72" s="128"/>
      <c r="D72" s="128"/>
      <c r="E72" s="198">
        <f>SUM(E62:E71)</f>
        <v>0</v>
      </c>
      <c r="F72" s="204">
        <f t="shared" si="12"/>
        <v>0</v>
      </c>
      <c r="G72" s="203">
        <f t="shared" si="13"/>
        <v>0</v>
      </c>
    </row>
    <row r="73" spans="1:16" ht="37" customHeight="1" thickBot="1"/>
    <row r="74" spans="1:16" s="8" customFormat="1" ht="36" customHeight="1" thickBot="1">
      <c r="A74" s="23" t="s">
        <v>116</v>
      </c>
      <c r="B74" s="214" t="s">
        <v>52</v>
      </c>
      <c r="C74" s="215" t="s">
        <v>53</v>
      </c>
      <c r="D74" s="153" t="s">
        <v>54</v>
      </c>
      <c r="E74" s="153" t="s">
        <v>55</v>
      </c>
      <c r="F74" s="143" t="s">
        <v>162</v>
      </c>
      <c r="G74" s="147" t="s">
        <v>159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 ht="20" customHeight="1">
      <c r="A75" s="88" t="str">
        <f>'BASE PAX'!A50</f>
        <v>TRANSFER AEROPORTO CHEGADA</v>
      </c>
      <c r="B75" s="211">
        <f>'BASE PAX'!B50</f>
        <v>0</v>
      </c>
      <c r="C75" s="213">
        <v>50000</v>
      </c>
      <c r="D75" s="231">
        <f>C75*0.2+C75</f>
        <v>60000</v>
      </c>
      <c r="E75" s="231">
        <f>D75*B75</f>
        <v>0</v>
      </c>
      <c r="F75" s="210">
        <f>B75*C75</f>
        <v>0</v>
      </c>
      <c r="G75" s="199">
        <f t="shared" ref="G75:G80" si="14">E75-F75</f>
        <v>0</v>
      </c>
    </row>
    <row r="76" spans="1:16" ht="20" customHeight="1">
      <c r="A76" s="88" t="str">
        <f>'BASE PAX'!A51</f>
        <v>TRANSFER AEROPORTO PARTIDA</v>
      </c>
      <c r="B76" s="211">
        <f>'BASE PAX'!B51</f>
        <v>0</v>
      </c>
      <c r="C76" s="212">
        <f>'BASE PAX'!C51</f>
        <v>80000</v>
      </c>
      <c r="D76" s="232">
        <f>C76*0.2+C76</f>
        <v>96000</v>
      </c>
      <c r="E76" s="232">
        <f>D76*B76</f>
        <v>0</v>
      </c>
      <c r="F76" s="210">
        <f>B76*C76</f>
        <v>0</v>
      </c>
      <c r="G76" s="200">
        <f t="shared" si="14"/>
        <v>0</v>
      </c>
    </row>
    <row r="77" spans="1:16" ht="20" customHeight="1">
      <c r="A77" s="88" t="str">
        <f>'BASE PAX'!A52</f>
        <v>TRANSFERS INTERNO</v>
      </c>
      <c r="B77" s="211">
        <f>'BASE PAX'!B52</f>
        <v>0</v>
      </c>
      <c r="C77" s="212">
        <f>'BASE PAX'!C52</f>
        <v>18000</v>
      </c>
      <c r="D77" s="232">
        <f>C77*0.2+C77</f>
        <v>21600</v>
      </c>
      <c r="E77" s="232">
        <f>D77*B77</f>
        <v>0</v>
      </c>
      <c r="F77" s="210">
        <f>B77*C77</f>
        <v>0</v>
      </c>
      <c r="G77" s="200">
        <f t="shared" si="14"/>
        <v>0</v>
      </c>
    </row>
    <row r="78" spans="1:16" ht="20" customHeight="1">
      <c r="A78" s="88" t="str">
        <f>'BASE PAX'!A53</f>
        <v>EXTRAS 1</v>
      </c>
      <c r="B78" s="211">
        <f>'BASE PAX'!B53</f>
        <v>0</v>
      </c>
      <c r="C78" s="212">
        <f>'BASE PAX'!C53</f>
        <v>150000</v>
      </c>
      <c r="D78" s="232">
        <f>C78*0.2+C78</f>
        <v>180000</v>
      </c>
      <c r="E78" s="232">
        <f>D78*B78</f>
        <v>0</v>
      </c>
      <c r="F78" s="210">
        <f>B78*C78</f>
        <v>0</v>
      </c>
      <c r="G78" s="200">
        <f t="shared" si="14"/>
        <v>0</v>
      </c>
    </row>
    <row r="79" spans="1:16" ht="20" customHeight="1" thickBot="1">
      <c r="A79" s="218" t="str">
        <f>'BASE PAX'!A54</f>
        <v>EXTRAS 2</v>
      </c>
      <c r="B79" s="211">
        <f>'BASE PAX'!B54</f>
        <v>0</v>
      </c>
      <c r="C79" s="216">
        <f>'BASE PAX'!C54</f>
        <v>0</v>
      </c>
      <c r="D79" s="233">
        <f>C79*0.2+C79</f>
        <v>0</v>
      </c>
      <c r="E79" s="233">
        <f>D79*B79</f>
        <v>0</v>
      </c>
      <c r="F79" s="217">
        <f>B79*C79</f>
        <v>0</v>
      </c>
      <c r="G79" s="201">
        <f t="shared" si="14"/>
        <v>0</v>
      </c>
    </row>
    <row r="80" spans="1:16" ht="44" customHeight="1" thickBot="1">
      <c r="A80" s="23" t="s">
        <v>89</v>
      </c>
      <c r="B80" s="80"/>
      <c r="C80" s="130"/>
      <c r="D80" s="130"/>
      <c r="E80" s="131">
        <f>SUM(E75:E79)</f>
        <v>0</v>
      </c>
      <c r="F80" s="131">
        <f>SUM(F75:F79)</f>
        <v>0</v>
      </c>
      <c r="G80" s="203">
        <f t="shared" si="14"/>
        <v>0</v>
      </c>
    </row>
    <row r="81" spans="1:16" s="8" customFormat="1" ht="11" customHeight="1" thickBot="1">
      <c r="A81" s="16"/>
      <c r="B81" s="56"/>
      <c r="C81" s="105"/>
      <c r="D81" s="102"/>
      <c r="E81" s="102"/>
      <c r="F81" s="7"/>
      <c r="G81" s="17"/>
      <c r="H81" s="7"/>
      <c r="I81" s="7"/>
      <c r="J81" s="7"/>
      <c r="K81" s="7"/>
      <c r="L81" s="7"/>
      <c r="M81" s="7"/>
      <c r="N81" s="7"/>
      <c r="O81" s="7"/>
      <c r="P81" s="7"/>
    </row>
    <row r="82" spans="1:16" s="9" customFormat="1" ht="42" customHeight="1" thickBot="1">
      <c r="A82" s="246" t="s">
        <v>117</v>
      </c>
      <c r="B82" s="247" t="s">
        <v>52</v>
      </c>
      <c r="C82" s="248" t="s">
        <v>53</v>
      </c>
      <c r="D82" s="249" t="s">
        <v>54</v>
      </c>
      <c r="E82" s="249" t="s">
        <v>55</v>
      </c>
      <c r="F82" s="248" t="s">
        <v>162</v>
      </c>
      <c r="G82" s="147" t="s">
        <v>159</v>
      </c>
    </row>
    <row r="83" spans="1:16" ht="20" customHeight="1">
      <c r="A83" s="81" t="str">
        <f>'BASE PAX'!A58</f>
        <v>WS INSTRUCTOR</v>
      </c>
      <c r="B83" s="238">
        <f>'BASE PAX'!B58</f>
        <v>0</v>
      </c>
      <c r="C83" s="239">
        <f>'BASE PAX'!C58</f>
        <v>3415000</v>
      </c>
      <c r="D83" s="240">
        <f>(C83*0.15)+C83</f>
        <v>3927250</v>
      </c>
      <c r="E83" s="240">
        <f>D83*B83</f>
        <v>0</v>
      </c>
      <c r="F83" s="234">
        <f>B83*C83</f>
        <v>0</v>
      </c>
      <c r="G83" s="199">
        <f>E83-F83</f>
        <v>0</v>
      </c>
    </row>
    <row r="84" spans="1:16" ht="20" customHeight="1">
      <c r="A84" s="81" t="str">
        <f>'BASE PAX'!A59</f>
        <v>PRODUCER FEE</v>
      </c>
      <c r="B84" s="235">
        <f>'BASE PAX'!B59</f>
        <v>0</v>
      </c>
      <c r="C84" s="236">
        <f>'BASE PAX'!C59</f>
        <v>180000</v>
      </c>
      <c r="D84" s="237">
        <f>(C84*0.15)+C84</f>
        <v>207000</v>
      </c>
      <c r="E84" s="237">
        <f>D84*B84</f>
        <v>0</v>
      </c>
      <c r="F84" s="234">
        <f>B84*C84</f>
        <v>0</v>
      </c>
      <c r="G84" s="200">
        <f>E84-F84</f>
        <v>0</v>
      </c>
    </row>
    <row r="85" spans="1:16" ht="20" customHeight="1" thickBot="1">
      <c r="A85" s="241">
        <f>'BASE PAX'!A60</f>
        <v>0</v>
      </c>
      <c r="B85" s="242">
        <f>'BASE PAX'!B60</f>
        <v>0</v>
      </c>
      <c r="C85" s="243">
        <f>'BASE PAX'!C60</f>
        <v>20000</v>
      </c>
      <c r="D85" s="244">
        <f>(C85*0.15)+C85</f>
        <v>23000</v>
      </c>
      <c r="E85" s="244">
        <f>D85*B85</f>
        <v>0</v>
      </c>
      <c r="F85" s="245">
        <f>B85*C85</f>
        <v>0</v>
      </c>
      <c r="G85" s="201">
        <f>E85-F85</f>
        <v>0</v>
      </c>
    </row>
    <row r="86" spans="1:16" ht="41" customHeight="1" thickBot="1">
      <c r="A86" s="24" t="s">
        <v>163</v>
      </c>
      <c r="B86" s="82"/>
      <c r="C86" s="132"/>
      <c r="D86" s="132"/>
      <c r="E86" s="133">
        <f>SUM(E83:E85)</f>
        <v>0</v>
      </c>
      <c r="F86" s="133">
        <f>SUM(F81:F85)</f>
        <v>0</v>
      </c>
      <c r="G86" s="203">
        <f>E86-F86</f>
        <v>0</v>
      </c>
    </row>
    <row r="87" spans="1:16" s="8" customFormat="1" ht="11" customHeight="1" thickBot="1">
      <c r="A87" s="16"/>
      <c r="B87" s="56"/>
      <c r="C87" s="105"/>
      <c r="D87" s="102"/>
      <c r="E87" s="102"/>
      <c r="F87" s="7"/>
      <c r="G87" s="17"/>
      <c r="H87" s="7"/>
      <c r="I87" s="7"/>
      <c r="J87" s="7"/>
      <c r="K87" s="7"/>
      <c r="L87" s="7"/>
      <c r="M87" s="7"/>
      <c r="N87" s="7"/>
      <c r="O87" s="7"/>
      <c r="P87" s="7"/>
    </row>
    <row r="88" spans="1:16" ht="38" customHeight="1" thickBot="1">
      <c r="A88" s="258" t="s">
        <v>164</v>
      </c>
      <c r="B88" s="259" t="s">
        <v>92</v>
      </c>
      <c r="C88" s="250" t="s">
        <v>53</v>
      </c>
      <c r="D88" s="260" t="s">
        <v>54</v>
      </c>
      <c r="E88" s="260" t="s">
        <v>55</v>
      </c>
      <c r="F88" s="250"/>
      <c r="G88" s="147" t="s">
        <v>159</v>
      </c>
    </row>
    <row r="89" spans="1:16" ht="20" customHeight="1">
      <c r="A89" s="255" t="str">
        <f>'BASE PAX'!A64</f>
        <v>COORDENAÇÃO PRODUÇÃO</v>
      </c>
      <c r="B89" s="256">
        <f>'BASE PAX'!B64</f>
        <v>0</v>
      </c>
      <c r="C89" s="257">
        <f>'BASE PAX'!C64</f>
        <v>50000</v>
      </c>
      <c r="D89" s="257">
        <f>'BASE PAX'!D64</f>
        <v>0</v>
      </c>
      <c r="E89" s="121">
        <f>D89*B89</f>
        <v>0</v>
      </c>
      <c r="F89" s="257"/>
      <c r="G89" s="199">
        <f t="shared" ref="G89:G94" si="15">E89*0.2</f>
        <v>0</v>
      </c>
    </row>
    <row r="90" spans="1:16" ht="20" customHeight="1">
      <c r="A90" s="251" t="str">
        <f>'BASE PAX'!A65</f>
        <v>EXTRA MÃO DE OBRA</v>
      </c>
      <c r="B90" s="256">
        <f>'BASE PAX'!B65</f>
        <v>0</v>
      </c>
      <c r="C90" s="253">
        <f>'BASE PAX'!C65</f>
        <v>50000</v>
      </c>
      <c r="D90" s="253">
        <f>'BASE PAX'!D65</f>
        <v>0</v>
      </c>
      <c r="E90" s="121">
        <f t="shared" ref="E90:E94" si="16">D90*B90</f>
        <v>0</v>
      </c>
      <c r="F90" s="253"/>
      <c r="G90" s="199">
        <f t="shared" si="15"/>
        <v>0</v>
      </c>
    </row>
    <row r="91" spans="1:16" ht="20" customHeight="1">
      <c r="A91" s="251" t="str">
        <f>'BASE PAX'!A66</f>
        <v>TAXA LIMPEZA CHECK IN / CHECKOUT</v>
      </c>
      <c r="B91" s="252">
        <f>'BASE PAX'!B66</f>
        <v>0</v>
      </c>
      <c r="C91" s="253">
        <f>'BASE PAX'!C66</f>
        <v>40000</v>
      </c>
      <c r="D91" s="253">
        <f>'BASE PAX'!D66</f>
        <v>0</v>
      </c>
      <c r="E91" s="121">
        <f t="shared" si="16"/>
        <v>0</v>
      </c>
      <c r="F91" s="253"/>
      <c r="G91" s="199">
        <f t="shared" si="15"/>
        <v>0</v>
      </c>
    </row>
    <row r="92" spans="1:16" ht="20" customHeight="1">
      <c r="A92" s="251" t="str">
        <f>'BASE PAX'!A67</f>
        <v>TAXA LIMPEZA DIARIA</v>
      </c>
      <c r="B92" s="254">
        <f>'BASE PAX'!B67</f>
        <v>0</v>
      </c>
      <c r="C92" s="253">
        <f>'BASE PAX'!C67</f>
        <v>30000</v>
      </c>
      <c r="D92" s="253">
        <f>'BASE PAX'!D67</f>
        <v>0</v>
      </c>
      <c r="E92" s="121">
        <f t="shared" si="16"/>
        <v>0</v>
      </c>
      <c r="F92" s="253"/>
      <c r="G92" s="199">
        <f t="shared" si="15"/>
        <v>0</v>
      </c>
    </row>
    <row r="93" spans="1:16" ht="20" customHeight="1">
      <c r="A93" s="251" t="str">
        <f>'BASE PAX'!A68</f>
        <v>SOUVENIR</v>
      </c>
      <c r="B93" s="252">
        <f>'BASE PAX'!B68</f>
        <v>0</v>
      </c>
      <c r="C93" s="253">
        <f>'BASE PAX'!C68</f>
        <v>15000</v>
      </c>
      <c r="D93" s="253">
        <f>'BASE PAX'!D68</f>
        <v>0</v>
      </c>
      <c r="E93" s="121">
        <f t="shared" si="16"/>
        <v>0</v>
      </c>
      <c r="F93" s="253"/>
      <c r="G93" s="199">
        <f t="shared" si="15"/>
        <v>0</v>
      </c>
    </row>
    <row r="94" spans="1:16" ht="20" customHeight="1" thickBot="1">
      <c r="A94" s="251" t="str">
        <f>'BASE PAX'!A69</f>
        <v>ASSISTENTE COORDENAÇÃO</v>
      </c>
      <c r="B94" s="256">
        <f>'BASE PAX'!B69</f>
        <v>0</v>
      </c>
      <c r="C94" s="253">
        <f>'BASE PAX'!C69</f>
        <v>30000</v>
      </c>
      <c r="D94" s="253">
        <f>'BASE PAX'!D69</f>
        <v>0</v>
      </c>
      <c r="E94" s="121">
        <f t="shared" si="16"/>
        <v>0</v>
      </c>
      <c r="F94" s="253"/>
      <c r="G94" s="199">
        <f t="shared" si="15"/>
        <v>0</v>
      </c>
    </row>
    <row r="95" spans="1:16" ht="41" customHeight="1" thickBot="1">
      <c r="A95" s="25" t="s">
        <v>101</v>
      </c>
      <c r="B95" s="83"/>
      <c r="C95" s="134"/>
      <c r="D95" s="134"/>
      <c r="E95" s="135">
        <f>SUM(E89:E94)</f>
        <v>0</v>
      </c>
      <c r="F95" s="135"/>
      <c r="G95" s="203">
        <f>SUM(G89:G94)</f>
        <v>0</v>
      </c>
    </row>
    <row r="96" spans="1:16" s="8" customFormat="1" ht="11" customHeight="1" thickBot="1">
      <c r="A96" s="16"/>
      <c r="B96" s="56"/>
      <c r="C96" s="105"/>
      <c r="D96" s="102"/>
      <c r="E96" s="102"/>
      <c r="F96" s="7"/>
      <c r="G96" s="17"/>
      <c r="H96" s="7"/>
      <c r="I96" s="7"/>
      <c r="J96" s="7"/>
      <c r="K96" s="7"/>
      <c r="L96" s="7"/>
      <c r="M96" s="7"/>
      <c r="N96" s="7"/>
      <c r="O96" s="7"/>
      <c r="P96" s="7"/>
    </row>
    <row r="97" spans="1:16" ht="38" customHeight="1" thickBot="1">
      <c r="A97" s="26" t="s">
        <v>165</v>
      </c>
      <c r="B97" s="27" t="s">
        <v>92</v>
      </c>
      <c r="C97" s="136" t="s">
        <v>53</v>
      </c>
      <c r="D97" s="136" t="s">
        <v>54</v>
      </c>
      <c r="E97" s="137" t="s">
        <v>55</v>
      </c>
      <c r="F97" s="20"/>
      <c r="G97" s="20"/>
    </row>
    <row r="98" spans="1:16" ht="23" customHeight="1" thickBot="1">
      <c r="A98" s="84" t="str">
        <f>'BASE PAX'!A73</f>
        <v xml:space="preserve">QUINCHO DAY USE / CABIN </v>
      </c>
      <c r="B98" s="85">
        <f>'BASE PAX'!B73</f>
        <v>0</v>
      </c>
      <c r="C98" s="138">
        <f>'BASE PAX'!C73</f>
        <v>15000</v>
      </c>
      <c r="D98" s="138">
        <f>C98+(C98*0.2)</f>
        <v>18000</v>
      </c>
      <c r="E98" s="139">
        <f>D98*B98</f>
        <v>0</v>
      </c>
      <c r="F98" s="19"/>
      <c r="G98" s="17"/>
    </row>
    <row r="99" spans="1:16" ht="42" customHeight="1" thickBot="1">
      <c r="A99" s="26" t="s">
        <v>104</v>
      </c>
      <c r="B99" s="86"/>
      <c r="C99" s="140"/>
      <c r="D99" s="140"/>
      <c r="E99" s="141">
        <f>E98</f>
        <v>0</v>
      </c>
    </row>
    <row r="100" spans="1:16" s="6" customFormat="1" ht="20" customHeight="1">
      <c r="A100" s="28"/>
      <c r="B100" s="52"/>
      <c r="C100" s="11"/>
      <c r="D100" s="11"/>
      <c r="E100" s="11"/>
      <c r="F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9" customHeight="1"/>
  </sheetData>
  <sheetProtection sheet="1" objects="1" scenarios="1"/>
  <mergeCells count="17">
    <mergeCell ref="A11:A12"/>
    <mergeCell ref="A28:D28"/>
    <mergeCell ref="B5:C5"/>
    <mergeCell ref="F20:F21"/>
    <mergeCell ref="B11:B12"/>
    <mergeCell ref="D11:D12"/>
    <mergeCell ref="B9:C9"/>
    <mergeCell ref="D9:E9"/>
    <mergeCell ref="B8:C8"/>
    <mergeCell ref="D8:E8"/>
    <mergeCell ref="D6:E6"/>
    <mergeCell ref="B6:C6"/>
    <mergeCell ref="I11:K11"/>
    <mergeCell ref="D7:E7"/>
    <mergeCell ref="B7:C7"/>
    <mergeCell ref="F11:G13"/>
    <mergeCell ref="G20:G21"/>
  </mergeCell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P101"/>
  <sheetViews>
    <sheetView topLeftCell="A25" zoomScale="120" zoomScaleNormal="120" workbookViewId="0">
      <selection activeCell="C92" sqref="C92"/>
    </sheetView>
  </sheetViews>
  <sheetFormatPr baseColWidth="10" defaultColWidth="11" defaultRowHeight="17"/>
  <cols>
    <col min="1" max="1" width="48.796875" style="7" customWidth="1"/>
    <col min="2" max="2" width="23.796875" style="52" customWidth="1"/>
    <col min="3" max="3" width="24" style="7" customWidth="1"/>
    <col min="4" max="4" width="22.796875" style="12" customWidth="1"/>
    <col min="5" max="5" width="22.19921875" style="11" customWidth="1"/>
    <col min="6" max="6" width="31.59765625" style="7" customWidth="1"/>
    <col min="7" max="7" width="27.796875" style="6" customWidth="1"/>
    <col min="8" max="8" width="32.3984375" style="7" customWidth="1"/>
    <col min="9" max="9" width="23.59765625" style="7" customWidth="1"/>
    <col min="10" max="10" width="25.19921875" style="7" customWidth="1"/>
    <col min="11" max="11" width="28.796875" style="7" customWidth="1"/>
    <col min="12" max="12" width="36.19921875" style="7" customWidth="1"/>
    <col min="13" max="28" width="11" style="7" customWidth="1"/>
    <col min="29" max="16384" width="11" style="7"/>
  </cols>
  <sheetData>
    <row r="1" spans="1:16" ht="22" hidden="1" customHeight="1" thickBot="1"/>
    <row r="2" spans="1:16" ht="7" customHeight="1">
      <c r="D2" s="13"/>
    </row>
    <row r="3" spans="1:16" s="10" customFormat="1" ht="1" customHeight="1">
      <c r="A3" s="14"/>
      <c r="B3" s="53"/>
      <c r="C3" s="15" t="s">
        <v>11</v>
      </c>
      <c r="D3" s="15"/>
      <c r="E3" s="15"/>
      <c r="G3" s="9"/>
    </row>
    <row r="4" spans="1:16" s="10" customFormat="1" ht="19" customHeight="1">
      <c r="A4" s="14"/>
      <c r="B4" s="53"/>
      <c r="C4" s="15"/>
      <c r="D4" s="15"/>
      <c r="E4" s="15"/>
      <c r="G4" s="9"/>
    </row>
    <row r="5" spans="1:16" s="10" customFormat="1" ht="39" customHeight="1">
      <c r="A5" s="54" t="s">
        <v>129</v>
      </c>
      <c r="B5" s="674">
        <v>1</v>
      </c>
      <c r="C5" s="675"/>
      <c r="D5" s="277"/>
      <c r="E5" s="277" t="s">
        <v>12</v>
      </c>
      <c r="F5" s="278"/>
      <c r="G5" s="9"/>
    </row>
    <row r="6" spans="1:16" s="8" customFormat="1" ht="37" customHeight="1">
      <c r="A6" s="54" t="s">
        <v>130</v>
      </c>
      <c r="B6" s="683">
        <v>0</v>
      </c>
      <c r="C6" s="684"/>
      <c r="D6" s="682" t="s">
        <v>131</v>
      </c>
      <c r="E6" s="661"/>
      <c r="F6" s="106">
        <f>D21</f>
        <v>0</v>
      </c>
      <c r="G6" s="9"/>
      <c r="H6" s="10"/>
    </row>
    <row r="7" spans="1:16" s="8" customFormat="1" ht="33" customHeight="1">
      <c r="A7" s="55" t="s">
        <v>132</v>
      </c>
      <c r="B7" s="662">
        <f>CALENDAR!C2</f>
        <v>0</v>
      </c>
      <c r="C7" s="661"/>
      <c r="D7" s="660" t="s">
        <v>133</v>
      </c>
      <c r="E7" s="661"/>
      <c r="F7" s="107">
        <f>SUM(F12:F20)</f>
        <v>0</v>
      </c>
      <c r="G7" s="9"/>
      <c r="H7" s="10"/>
    </row>
    <row r="8" spans="1:16" s="8" customFormat="1" ht="31" customHeight="1">
      <c r="A8" s="54" t="s">
        <v>134</v>
      </c>
      <c r="B8" s="680">
        <f>CALENDAR!C3</f>
        <v>0</v>
      </c>
      <c r="C8" s="661"/>
      <c r="D8" s="681" t="s">
        <v>135</v>
      </c>
      <c r="E8" s="661"/>
      <c r="F8" s="108">
        <f>F6-F7</f>
        <v>0</v>
      </c>
      <c r="G8" s="9"/>
      <c r="H8" s="10"/>
    </row>
    <row r="9" spans="1:16" s="8" customFormat="1" ht="32" customHeight="1">
      <c r="A9" s="55" t="s">
        <v>136</v>
      </c>
      <c r="B9" s="678">
        <f>CALENDAR!J2</f>
        <v>0</v>
      </c>
      <c r="C9" s="661"/>
      <c r="D9" s="679" t="s">
        <v>137</v>
      </c>
      <c r="E9" s="661"/>
      <c r="F9" s="1"/>
      <c r="G9" s="9"/>
      <c r="H9" s="10"/>
    </row>
    <row r="10" spans="1:16" s="8" customFormat="1" ht="30" customHeight="1" thickBot="1">
      <c r="A10" s="16"/>
      <c r="B10" s="56"/>
      <c r="C10" s="6"/>
      <c r="D10" s="7"/>
      <c r="E10" s="7"/>
      <c r="F10" s="7"/>
      <c r="G10" s="17"/>
      <c r="H10" s="7"/>
      <c r="I10" s="7"/>
      <c r="J10" s="7"/>
      <c r="K10" s="7"/>
      <c r="L10" s="7"/>
      <c r="M10" s="7"/>
      <c r="N10" s="7"/>
      <c r="O10" s="7"/>
      <c r="P10" s="7"/>
    </row>
    <row r="11" spans="1:16" s="6" customFormat="1" ht="44" customHeight="1" thickBot="1">
      <c r="A11" s="671" t="s">
        <v>138</v>
      </c>
      <c r="B11" s="677" t="s">
        <v>139</v>
      </c>
      <c r="C11" s="57" t="s">
        <v>140</v>
      </c>
      <c r="D11" s="677" t="s">
        <v>141</v>
      </c>
      <c r="E11" s="7"/>
      <c r="F11" s="738" t="str">
        <f>E5</f>
        <v>NIRE</v>
      </c>
      <c r="G11" s="664"/>
      <c r="H11" s="7"/>
      <c r="I11" s="658" t="s">
        <v>142</v>
      </c>
      <c r="J11" s="659"/>
      <c r="K11" s="659"/>
      <c r="L11" s="7"/>
      <c r="M11" s="7"/>
      <c r="N11" s="7"/>
      <c r="O11" s="7"/>
      <c r="P11" s="7"/>
    </row>
    <row r="12" spans="1:16" s="6" customFormat="1" ht="32" customHeight="1">
      <c r="A12" s="659"/>
      <c r="B12" s="659"/>
      <c r="C12" s="58">
        <v>0.05</v>
      </c>
      <c r="D12" s="659"/>
      <c r="E12" s="7"/>
      <c r="F12" s="665"/>
      <c r="G12" s="666"/>
      <c r="H12" s="7"/>
      <c r="I12" s="59" t="s">
        <v>126</v>
      </c>
      <c r="J12" s="60" t="s">
        <v>143</v>
      </c>
      <c r="K12" s="60" t="s">
        <v>144</v>
      </c>
      <c r="L12" s="7"/>
      <c r="M12" s="7"/>
      <c r="N12" s="7"/>
      <c r="O12" s="7"/>
      <c r="P12" s="7"/>
    </row>
    <row r="13" spans="1:16" ht="22" customHeight="1" thickBot="1">
      <c r="A13" s="61" t="s">
        <v>15</v>
      </c>
      <c r="B13" s="109">
        <f>G28</f>
        <v>0</v>
      </c>
      <c r="C13" s="109">
        <f t="shared" ref="C13:C20" si="0">B13*$C$12</f>
        <v>0</v>
      </c>
      <c r="D13" s="109">
        <f t="shared" ref="D13:D20" si="1">B13+(B13*$C$12)</f>
        <v>0</v>
      </c>
      <c r="E13" s="7"/>
      <c r="F13" s="667"/>
      <c r="G13" s="668"/>
      <c r="I13" s="3"/>
      <c r="J13" s="4"/>
      <c r="K13" s="5"/>
    </row>
    <row r="14" spans="1:16" s="6" customFormat="1" ht="20" customHeight="1">
      <c r="A14" s="62" t="s">
        <v>16</v>
      </c>
      <c r="B14" s="110">
        <f>J49</f>
        <v>0</v>
      </c>
      <c r="C14" s="110">
        <f t="shared" si="0"/>
        <v>0</v>
      </c>
      <c r="D14" s="110">
        <f t="shared" si="1"/>
        <v>0</v>
      </c>
      <c r="E14" s="7"/>
      <c r="F14" s="271" t="str">
        <f t="shared" ref="F14:F19" si="2">A14</f>
        <v>2.FOOD</v>
      </c>
      <c r="G14" s="261">
        <f>G49</f>
        <v>0</v>
      </c>
      <c r="H14" s="7"/>
      <c r="I14" s="3"/>
      <c r="J14" s="4"/>
      <c r="K14" s="5"/>
      <c r="L14" s="7"/>
      <c r="M14" s="7"/>
      <c r="N14" s="7"/>
      <c r="O14" s="7"/>
      <c r="P14" s="7"/>
    </row>
    <row r="15" spans="1:16" s="6" customFormat="1" ht="20" customHeight="1">
      <c r="A15" s="63" t="s">
        <v>17</v>
      </c>
      <c r="B15" s="111">
        <f>E59</f>
        <v>0</v>
      </c>
      <c r="C15" s="111">
        <f t="shared" si="0"/>
        <v>0</v>
      </c>
      <c r="D15" s="111">
        <f t="shared" si="1"/>
        <v>0</v>
      </c>
      <c r="E15" s="7"/>
      <c r="F15" s="272" t="str">
        <f t="shared" si="2"/>
        <v>3.DRINKS</v>
      </c>
      <c r="G15" s="262">
        <f>G59</f>
        <v>0</v>
      </c>
      <c r="H15" s="7"/>
      <c r="I15" s="3"/>
      <c r="J15" s="4"/>
      <c r="K15" s="5"/>
      <c r="L15" s="7"/>
      <c r="M15" s="7"/>
      <c r="N15" s="7"/>
      <c r="O15" s="7"/>
      <c r="P15" s="7"/>
    </row>
    <row r="16" spans="1:16" s="6" customFormat="1" ht="20" customHeight="1">
      <c r="A16" s="55" t="s">
        <v>18</v>
      </c>
      <c r="B16" s="112">
        <f>$E$72</f>
        <v>0</v>
      </c>
      <c r="C16" s="112">
        <f t="shared" si="0"/>
        <v>0</v>
      </c>
      <c r="D16" s="112">
        <f t="shared" si="1"/>
        <v>0</v>
      </c>
      <c r="E16" s="7"/>
      <c r="F16" s="273" t="str">
        <f t="shared" si="2"/>
        <v>4. ACTIVITIES</v>
      </c>
      <c r="G16" s="263">
        <f>G72</f>
        <v>0</v>
      </c>
      <c r="H16" s="7"/>
      <c r="I16" s="3"/>
      <c r="J16" s="4"/>
      <c r="K16" s="5"/>
      <c r="L16" s="7"/>
      <c r="M16" s="7"/>
      <c r="N16" s="7"/>
      <c r="O16" s="7"/>
      <c r="P16" s="7"/>
    </row>
    <row r="17" spans="1:16" s="6" customFormat="1" ht="20" customHeight="1">
      <c r="A17" s="63" t="s">
        <v>19</v>
      </c>
      <c r="B17" s="111">
        <f>$E$80</f>
        <v>0</v>
      </c>
      <c r="C17" s="111">
        <f t="shared" si="0"/>
        <v>0</v>
      </c>
      <c r="D17" s="111">
        <f t="shared" si="1"/>
        <v>0</v>
      </c>
      <c r="E17" s="7"/>
      <c r="F17" s="274" t="str">
        <f t="shared" si="2"/>
        <v>5.TRANSPORT</v>
      </c>
      <c r="G17" s="174">
        <f>G80</f>
        <v>0</v>
      </c>
      <c r="H17" s="7"/>
      <c r="I17" s="3"/>
      <c r="J17" s="4"/>
      <c r="K17" s="5"/>
      <c r="L17" s="7"/>
      <c r="M17" s="7"/>
      <c r="N17" s="7"/>
      <c r="O17" s="7"/>
      <c r="P17" s="7"/>
    </row>
    <row r="18" spans="1:16" s="6" customFormat="1" ht="20" customHeight="1">
      <c r="A18" s="64" t="s">
        <v>20</v>
      </c>
      <c r="B18" s="113">
        <f>$E$86</f>
        <v>0</v>
      </c>
      <c r="C18" s="113">
        <f t="shared" si="0"/>
        <v>0</v>
      </c>
      <c r="D18" s="113">
        <f t="shared" si="1"/>
        <v>0</v>
      </c>
      <c r="E18" s="10"/>
      <c r="F18" s="275" t="str">
        <f t="shared" si="2"/>
        <v>6.EXPERIENCES</v>
      </c>
      <c r="G18" s="264">
        <f>G86</f>
        <v>0</v>
      </c>
      <c r="H18" s="7"/>
      <c r="I18" s="3"/>
      <c r="J18" s="4"/>
      <c r="K18" s="5"/>
      <c r="L18" s="7"/>
      <c r="M18" s="7"/>
      <c r="N18" s="7"/>
      <c r="O18" s="7"/>
      <c r="P18" s="7"/>
    </row>
    <row r="19" spans="1:16" s="6" customFormat="1" ht="20" customHeight="1">
      <c r="A19" s="65" t="s">
        <v>21</v>
      </c>
      <c r="B19" s="114">
        <f>$E$95</f>
        <v>0</v>
      </c>
      <c r="C19" s="114">
        <f t="shared" si="0"/>
        <v>0</v>
      </c>
      <c r="D19" s="114">
        <f t="shared" si="1"/>
        <v>0</v>
      </c>
      <c r="E19" s="7"/>
      <c r="F19" s="276" t="str">
        <f t="shared" si="2"/>
        <v>7.EXTRAS</v>
      </c>
      <c r="G19" s="151">
        <f>G95</f>
        <v>0</v>
      </c>
      <c r="H19" s="7"/>
      <c r="I19" s="3"/>
      <c r="J19" s="4"/>
      <c r="K19" s="5"/>
      <c r="L19" s="7"/>
      <c r="M19" s="7"/>
      <c r="N19" s="7"/>
      <c r="O19" s="7"/>
      <c r="P19" s="7"/>
    </row>
    <row r="20" spans="1:16" s="6" customFormat="1" ht="20" customHeight="1" thickBot="1">
      <c r="A20" s="66" t="s">
        <v>22</v>
      </c>
      <c r="B20" s="115">
        <f>$E$99</f>
        <v>0</v>
      </c>
      <c r="C20" s="115">
        <f t="shared" si="0"/>
        <v>0</v>
      </c>
      <c r="D20" s="115">
        <f t="shared" si="1"/>
        <v>0</v>
      </c>
      <c r="E20" s="7"/>
      <c r="F20" s="676" t="s">
        <v>145</v>
      </c>
      <c r="G20" s="669">
        <f>G14+G15+G16+G17+G18+G19</f>
        <v>0</v>
      </c>
      <c r="H20" s="7"/>
      <c r="I20" s="3"/>
      <c r="J20" s="4"/>
      <c r="K20" s="5"/>
      <c r="L20" s="7"/>
      <c r="M20" s="7"/>
      <c r="N20" s="7"/>
      <c r="O20" s="7"/>
      <c r="P20" s="7"/>
    </row>
    <row r="21" spans="1:16" ht="35" customHeight="1" thickBot="1">
      <c r="A21" s="67" t="s">
        <v>146</v>
      </c>
      <c r="B21" s="116">
        <f>SUM(B13:B20)</f>
        <v>0</v>
      </c>
      <c r="C21" s="116"/>
      <c r="D21" s="116">
        <f>SUM(D13:D20)</f>
        <v>0</v>
      </c>
      <c r="E21" s="51"/>
      <c r="F21" s="670"/>
      <c r="G21" s="670"/>
    </row>
    <row r="22" spans="1:16" s="8" customFormat="1" ht="11" customHeight="1" thickBot="1">
      <c r="A22" s="16"/>
      <c r="B22" s="56"/>
      <c r="C22" s="6"/>
      <c r="D22" s="7"/>
      <c r="E22" s="7"/>
      <c r="F22" s="7"/>
      <c r="G22" s="17"/>
      <c r="H22" s="7"/>
      <c r="I22" s="7"/>
      <c r="J22" s="7"/>
      <c r="K22" s="7"/>
      <c r="L22" s="7"/>
      <c r="M22" s="7"/>
      <c r="N22" s="7"/>
      <c r="O22" s="7"/>
      <c r="P22" s="7"/>
    </row>
    <row r="23" spans="1:16" ht="44" customHeight="1" thickBot="1">
      <c r="A23" s="68" t="s">
        <v>114</v>
      </c>
      <c r="B23" s="69" t="s">
        <v>52</v>
      </c>
      <c r="C23" s="69" t="s">
        <v>147</v>
      </c>
      <c r="D23" s="69" t="s">
        <v>148</v>
      </c>
      <c r="E23" s="70" t="s">
        <v>149</v>
      </c>
      <c r="F23" s="70" t="s">
        <v>150</v>
      </c>
      <c r="G23" s="70" t="s">
        <v>151</v>
      </c>
    </row>
    <row r="24" spans="1:16" ht="20" customHeight="1">
      <c r="A24" s="71" t="s">
        <v>166</v>
      </c>
      <c r="B24" s="93">
        <v>1</v>
      </c>
      <c r="C24" s="117">
        <f>249200</f>
        <v>249200</v>
      </c>
      <c r="D24" s="118"/>
      <c r="E24" s="119">
        <f>(C24+D24)*$B$9*B24</f>
        <v>0</v>
      </c>
      <c r="F24" s="2">
        <v>0</v>
      </c>
      <c r="G24" s="119">
        <f>E24-(E24*F24)</f>
        <v>0</v>
      </c>
    </row>
    <row r="25" spans="1:16" ht="20" customHeight="1">
      <c r="A25" s="71" t="s">
        <v>167</v>
      </c>
      <c r="B25" s="93">
        <v>0</v>
      </c>
      <c r="C25" s="117">
        <f>249200</f>
        <v>249200</v>
      </c>
      <c r="D25" s="118">
        <v>50000</v>
      </c>
      <c r="E25" s="119">
        <f>(C25+D25)*$B$9*B25</f>
        <v>0</v>
      </c>
      <c r="F25" s="2">
        <v>0</v>
      </c>
      <c r="G25" s="119">
        <f>E25-(E25*F25)</f>
        <v>0</v>
      </c>
    </row>
    <row r="26" spans="1:16" ht="20" customHeight="1">
      <c r="A26" s="71" t="s">
        <v>168</v>
      </c>
      <c r="B26" s="93">
        <v>0</v>
      </c>
      <c r="C26" s="117">
        <f>224280</f>
        <v>224280</v>
      </c>
      <c r="D26" s="118"/>
      <c r="E26" s="119">
        <f>(C26+D26)*$B$9*B26</f>
        <v>0</v>
      </c>
      <c r="F26" s="2">
        <v>0</v>
      </c>
      <c r="G26" s="119">
        <f>E26-(E26*F26)</f>
        <v>0</v>
      </c>
    </row>
    <row r="27" spans="1:16" ht="20" customHeight="1" thickBot="1">
      <c r="A27" s="71" t="s">
        <v>169</v>
      </c>
      <c r="B27" s="93">
        <v>0</v>
      </c>
      <c r="C27" s="117">
        <f>224280</f>
        <v>224280</v>
      </c>
      <c r="D27" s="118">
        <v>50000</v>
      </c>
      <c r="E27" s="119">
        <f>(C27+D27)*$B$9*B27</f>
        <v>0</v>
      </c>
      <c r="F27" s="2">
        <v>0</v>
      </c>
      <c r="G27" s="119">
        <f>E27-(E27*F27)</f>
        <v>0</v>
      </c>
    </row>
    <row r="28" spans="1:16" ht="29" customHeight="1" thickBot="1">
      <c r="A28" s="672" t="s">
        <v>156</v>
      </c>
      <c r="B28" s="673"/>
      <c r="C28" s="673"/>
      <c r="D28" s="673"/>
      <c r="E28" s="72"/>
      <c r="F28" s="73"/>
      <c r="G28" s="120">
        <f>SUM(G24:G27)</f>
        <v>0</v>
      </c>
    </row>
    <row r="29" spans="1:16" s="8" customFormat="1" ht="11" customHeight="1" thickBot="1">
      <c r="A29" s="16"/>
      <c r="B29" s="56"/>
      <c r="C29" s="6"/>
      <c r="D29" s="7"/>
      <c r="E29" s="7"/>
      <c r="F29" s="7"/>
      <c r="G29" s="17"/>
      <c r="H29" s="7"/>
      <c r="I29" s="286"/>
      <c r="J29" s="7"/>
      <c r="K29" s="7"/>
      <c r="L29" s="7"/>
      <c r="M29" s="7"/>
      <c r="N29" s="7"/>
      <c r="O29" s="7"/>
      <c r="P29" s="7"/>
    </row>
    <row r="30" spans="1:16" s="10" customFormat="1" ht="40" customHeight="1" thickBot="1">
      <c r="A30" s="18" t="s">
        <v>51</v>
      </c>
      <c r="B30" s="159" t="s">
        <v>52</v>
      </c>
      <c r="C30" s="160" t="s">
        <v>53</v>
      </c>
      <c r="D30" s="153" t="s">
        <v>54</v>
      </c>
      <c r="E30" s="149" t="s">
        <v>157</v>
      </c>
      <c r="F30" s="103" t="s">
        <v>158</v>
      </c>
      <c r="G30" s="147" t="s">
        <v>159</v>
      </c>
      <c r="I30" s="286"/>
    </row>
    <row r="31" spans="1:16" ht="20" customHeight="1" thickBot="1">
      <c r="A31" s="154" t="str">
        <f>'BASE PAX'!A6</f>
        <v>BREAKFAST</v>
      </c>
      <c r="B31" s="285">
        <f>(B5*B9*'BASE PAX'!G6)+('BASE PAX'!H6*B6*B9)</f>
        <v>0</v>
      </c>
      <c r="C31" s="121"/>
      <c r="D31" s="144"/>
      <c r="E31" s="283">
        <v>0</v>
      </c>
      <c r="F31" s="122">
        <f t="shared" ref="F31:F46" si="3">B31*C31</f>
        <v>0</v>
      </c>
      <c r="G31" s="325">
        <f>0.2*B31</f>
        <v>0</v>
      </c>
      <c r="H31" s="351" t="str">
        <f>A31</f>
        <v>BREAKFAST</v>
      </c>
      <c r="I31" s="353">
        <f>B31</f>
        <v>0</v>
      </c>
    </row>
    <row r="32" spans="1:16" ht="20" customHeight="1">
      <c r="A32" s="155" t="str">
        <f>'BASE PAX'!A7</f>
        <v>LUNCH 1</v>
      </c>
      <c r="B32" s="74">
        <f>($B$5+$B$6)*'BASE PAX'!B7</f>
        <v>0</v>
      </c>
      <c r="C32" s="123">
        <f>'BASE PAX'!C7</f>
        <v>40000</v>
      </c>
      <c r="D32" s="125">
        <f>'BASE PAX'!D7</f>
        <v>48000</v>
      </c>
      <c r="E32" s="151">
        <f t="shared" ref="E32:E46" si="4">D32*B32</f>
        <v>0</v>
      </c>
      <c r="F32" s="124">
        <f t="shared" si="3"/>
        <v>0</v>
      </c>
      <c r="G32" s="146">
        <f t="shared" ref="G32:G46" si="5">E32-F32</f>
        <v>0</v>
      </c>
      <c r="I32" s="290"/>
    </row>
    <row r="33" spans="1:11" ht="20" customHeight="1">
      <c r="A33" s="155" t="str">
        <f>'BASE PAX'!A8</f>
        <v>LUNCH 2</v>
      </c>
      <c r="B33" s="74">
        <f>($B$5+$B$6)*'BASE PAX'!B8</f>
        <v>0</v>
      </c>
      <c r="C33" s="123">
        <f>'BASE PAX'!C8</f>
        <v>40000</v>
      </c>
      <c r="D33" s="125">
        <f>'BASE PAX'!D8</f>
        <v>48000</v>
      </c>
      <c r="E33" s="151">
        <f t="shared" si="4"/>
        <v>0</v>
      </c>
      <c r="F33" s="124">
        <f t="shared" si="3"/>
        <v>0</v>
      </c>
      <c r="G33" s="146">
        <f t="shared" si="5"/>
        <v>0</v>
      </c>
      <c r="I33" s="290"/>
    </row>
    <row r="34" spans="1:11" ht="20" customHeight="1">
      <c r="A34" s="155" t="str">
        <f>'BASE PAX'!A9</f>
        <v>LUNCH 3</v>
      </c>
      <c r="B34" s="74">
        <f>($B$5+$B$6)*'BASE PAX'!B9</f>
        <v>0</v>
      </c>
      <c r="C34" s="123">
        <f>'BASE PAX'!C9</f>
        <v>40000</v>
      </c>
      <c r="D34" s="125">
        <f>'BASE PAX'!D9</f>
        <v>48000</v>
      </c>
      <c r="E34" s="151">
        <f t="shared" si="4"/>
        <v>0</v>
      </c>
      <c r="F34" s="124">
        <f t="shared" si="3"/>
        <v>0</v>
      </c>
      <c r="G34" s="146">
        <f t="shared" si="5"/>
        <v>0</v>
      </c>
      <c r="I34" s="290"/>
    </row>
    <row r="35" spans="1:11" ht="20" customHeight="1">
      <c r="A35" s="155" t="str">
        <f>'BASE PAX'!A10</f>
        <v>LUNCH 4</v>
      </c>
      <c r="B35" s="74">
        <f>($B$5+$B$6)*'BASE PAX'!B10</f>
        <v>0</v>
      </c>
      <c r="C35" s="123">
        <f>'BASE PAX'!C10</f>
        <v>45000</v>
      </c>
      <c r="D35" s="125">
        <f>'BASE PAX'!D10</f>
        <v>54000</v>
      </c>
      <c r="E35" s="151">
        <f t="shared" si="4"/>
        <v>0</v>
      </c>
      <c r="F35" s="124">
        <f t="shared" si="3"/>
        <v>0</v>
      </c>
      <c r="G35" s="146">
        <f t="shared" si="5"/>
        <v>0</v>
      </c>
      <c r="I35" s="290"/>
    </row>
    <row r="36" spans="1:11" ht="20" customHeight="1">
      <c r="A36" s="155" t="str">
        <f>'BASE PAX'!A11</f>
        <v>LUNCH 5</v>
      </c>
      <c r="B36" s="74">
        <f>($B$5+$B$6)*'BASE PAX'!B11</f>
        <v>0</v>
      </c>
      <c r="C36" s="123">
        <f>'BASE PAX'!C11</f>
        <v>50000</v>
      </c>
      <c r="D36" s="125">
        <f>'BASE PAX'!D11</f>
        <v>60000</v>
      </c>
      <c r="E36" s="151">
        <f t="shared" si="4"/>
        <v>0</v>
      </c>
      <c r="F36" s="124">
        <f t="shared" si="3"/>
        <v>0</v>
      </c>
      <c r="G36" s="146">
        <f t="shared" si="5"/>
        <v>0</v>
      </c>
      <c r="I36" s="290"/>
    </row>
    <row r="37" spans="1:11" ht="20" customHeight="1">
      <c r="A37" s="155" t="str">
        <f>'BASE PAX'!A12</f>
        <v>LUNCH 6</v>
      </c>
      <c r="B37" s="74">
        <f>($B$5+$B$6)*'BASE PAX'!B12</f>
        <v>0</v>
      </c>
      <c r="C37" s="123">
        <f>'BASE PAX'!C12</f>
        <v>0</v>
      </c>
      <c r="D37" s="125">
        <f>'BASE PAX'!D12</f>
        <v>0</v>
      </c>
      <c r="E37" s="151">
        <f t="shared" si="4"/>
        <v>0</v>
      </c>
      <c r="F37" s="124">
        <f t="shared" si="3"/>
        <v>0</v>
      </c>
      <c r="G37" s="146">
        <f t="shared" si="5"/>
        <v>0</v>
      </c>
      <c r="I37" s="290"/>
    </row>
    <row r="38" spans="1:11" ht="20" customHeight="1">
      <c r="A38" s="155" t="str">
        <f>'BASE PAX'!A13</f>
        <v>LUNCH 7</v>
      </c>
      <c r="B38" s="74">
        <f>($B$5+$B$6)*'BASE PAX'!B13</f>
        <v>0</v>
      </c>
      <c r="C38" s="123">
        <f>'BASE PAX'!C13</f>
        <v>5000</v>
      </c>
      <c r="D38" s="125">
        <f>'BASE PAX'!D13</f>
        <v>6000</v>
      </c>
      <c r="E38" s="151">
        <f t="shared" si="4"/>
        <v>0</v>
      </c>
      <c r="F38" s="124">
        <f t="shared" si="3"/>
        <v>0</v>
      </c>
      <c r="G38" s="146">
        <f t="shared" si="5"/>
        <v>0</v>
      </c>
      <c r="I38" s="290"/>
    </row>
    <row r="39" spans="1:11" ht="20" customHeight="1">
      <c r="A39" s="156" t="str">
        <f>'BASE PAX'!A14</f>
        <v>SNACKS</v>
      </c>
      <c r="B39" s="75">
        <f>($B$5+$B$6)*'BASE PAX'!B14</f>
        <v>0</v>
      </c>
      <c r="C39" s="125">
        <f>'BASE PAX'!C14</f>
        <v>8000</v>
      </c>
      <c r="D39" s="145">
        <f>'BASE PAX'!D14</f>
        <v>9600</v>
      </c>
      <c r="E39" s="150">
        <f t="shared" si="4"/>
        <v>0</v>
      </c>
      <c r="F39" s="122">
        <f t="shared" si="3"/>
        <v>0</v>
      </c>
      <c r="G39" s="146">
        <f t="shared" si="5"/>
        <v>0</v>
      </c>
      <c r="I39" s="290"/>
    </row>
    <row r="40" spans="1:11" ht="20" customHeight="1">
      <c r="A40" s="155" t="str">
        <f>'BASE PAX'!A15</f>
        <v>DINNER 1</v>
      </c>
      <c r="B40" s="74">
        <f>($B$5+$B$6)*'BASE PAX'!B15</f>
        <v>0</v>
      </c>
      <c r="C40" s="123">
        <f>'BASE PAX'!C15</f>
        <v>70000</v>
      </c>
      <c r="D40" s="125">
        <f>'BASE PAX'!D15</f>
        <v>84000</v>
      </c>
      <c r="E40" s="151">
        <f t="shared" si="4"/>
        <v>0</v>
      </c>
      <c r="F40" s="124">
        <f t="shared" si="3"/>
        <v>0</v>
      </c>
      <c r="G40" s="146">
        <f t="shared" si="5"/>
        <v>0</v>
      </c>
      <c r="H40" s="287"/>
      <c r="I40" s="291"/>
    </row>
    <row r="41" spans="1:11" ht="20" customHeight="1">
      <c r="A41" s="155" t="str">
        <f>'BASE PAX'!A16</f>
        <v>DINNER 2</v>
      </c>
      <c r="B41" s="74">
        <f>($B$5+$B$6)*'BASE PAX'!B16</f>
        <v>0</v>
      </c>
      <c r="C41" s="123">
        <f>'BASE PAX'!C16</f>
        <v>25000</v>
      </c>
      <c r="D41" s="125">
        <f>'BASE PAX'!D16</f>
        <v>30000</v>
      </c>
      <c r="E41" s="151">
        <f t="shared" si="4"/>
        <v>0</v>
      </c>
      <c r="F41" s="124">
        <f t="shared" si="3"/>
        <v>0</v>
      </c>
      <c r="G41" s="146">
        <f t="shared" si="5"/>
        <v>0</v>
      </c>
      <c r="I41" s="290"/>
    </row>
    <row r="42" spans="1:11" ht="20" customHeight="1">
      <c r="A42" s="155" t="str">
        <f>'BASE PAX'!A17</f>
        <v>DINNER 3</v>
      </c>
      <c r="B42" s="74">
        <f>($B$5+$B$6)*'BASE PAX'!B17</f>
        <v>0</v>
      </c>
      <c r="C42" s="123">
        <f>'BASE PAX'!C17</f>
        <v>50000</v>
      </c>
      <c r="D42" s="125">
        <f>'BASE PAX'!D17</f>
        <v>60000</v>
      </c>
      <c r="E42" s="151">
        <f t="shared" si="4"/>
        <v>0</v>
      </c>
      <c r="F42" s="124">
        <f t="shared" si="3"/>
        <v>0</v>
      </c>
      <c r="G42" s="146">
        <f t="shared" si="5"/>
        <v>0</v>
      </c>
      <c r="I42" s="290"/>
    </row>
    <row r="43" spans="1:11" ht="20" customHeight="1">
      <c r="A43" s="155" t="str">
        <f>'BASE PAX'!A18</f>
        <v>DINNER 4</v>
      </c>
      <c r="B43" s="74">
        <f>($B$5+$B$6)*'BASE PAX'!B18</f>
        <v>0</v>
      </c>
      <c r="C43" s="123">
        <f>'BASE PAX'!C18</f>
        <v>65000</v>
      </c>
      <c r="D43" s="125">
        <f>'BASE PAX'!D18</f>
        <v>78000</v>
      </c>
      <c r="E43" s="151">
        <f t="shared" si="4"/>
        <v>0</v>
      </c>
      <c r="F43" s="124">
        <f t="shared" si="3"/>
        <v>0</v>
      </c>
      <c r="G43" s="146">
        <f t="shared" si="5"/>
        <v>0</v>
      </c>
      <c r="I43" s="9"/>
    </row>
    <row r="44" spans="1:11" ht="20" customHeight="1">
      <c r="A44" s="155" t="str">
        <f>'BASE PAX'!A19</f>
        <v>DINNER 5</v>
      </c>
      <c r="B44" s="74">
        <f>($B$5+$B$6)*'BASE PAX'!B19</f>
        <v>0</v>
      </c>
      <c r="C44" s="123">
        <f>'BASE PAX'!C19</f>
        <v>75000</v>
      </c>
      <c r="D44" s="125">
        <f>'BASE PAX'!D19</f>
        <v>90000</v>
      </c>
      <c r="E44" s="151">
        <f t="shared" si="4"/>
        <v>0</v>
      </c>
      <c r="F44" s="124">
        <f t="shared" si="3"/>
        <v>0</v>
      </c>
      <c r="G44" s="146">
        <f t="shared" si="5"/>
        <v>0</v>
      </c>
      <c r="I44" s="9"/>
    </row>
    <row r="45" spans="1:11" ht="20" customHeight="1">
      <c r="A45" s="155" t="str">
        <f>'BASE PAX'!A20</f>
        <v>DINNER 6</v>
      </c>
      <c r="B45" s="74">
        <f>($B$5+$B$6)*'BASE PAX'!B20</f>
        <v>0</v>
      </c>
      <c r="C45" s="123">
        <f>'BASE PAX'!C20</f>
        <v>0</v>
      </c>
      <c r="D45" s="125">
        <f>'BASE PAX'!D20</f>
        <v>0</v>
      </c>
      <c r="E45" s="151">
        <f t="shared" si="4"/>
        <v>0</v>
      </c>
      <c r="F45" s="124">
        <f t="shared" si="3"/>
        <v>0</v>
      </c>
      <c r="G45" s="146">
        <f t="shared" si="5"/>
        <v>0</v>
      </c>
      <c r="I45" s="9"/>
    </row>
    <row r="46" spans="1:11" ht="20" customHeight="1" thickBot="1">
      <c r="A46" s="155" t="str">
        <f>'BASE PAX'!A21</f>
        <v>DINNER 7</v>
      </c>
      <c r="B46" s="74">
        <f>($B$5+$B$6)*'BASE PAX'!B21</f>
        <v>0</v>
      </c>
      <c r="C46" s="123">
        <f>'BASE PAX'!C21</f>
        <v>75000</v>
      </c>
      <c r="D46" s="125">
        <f>'BASE PAX'!D21</f>
        <v>90000</v>
      </c>
      <c r="E46" s="151">
        <f t="shared" si="4"/>
        <v>0</v>
      </c>
      <c r="F46" s="124">
        <f t="shared" si="3"/>
        <v>0</v>
      </c>
      <c r="G46" s="146">
        <f t="shared" si="5"/>
        <v>0</v>
      </c>
      <c r="I46" s="10"/>
    </row>
    <row r="47" spans="1:11" ht="20" customHeight="1">
      <c r="A47" s="155" t="str">
        <f>'BASE PAX'!A22</f>
        <v>QUANT. TOTAL | PADRAO ALMOÇO</v>
      </c>
      <c r="B47" s="74">
        <f>'BASE PAX'!B22</f>
        <v>0</v>
      </c>
      <c r="C47" s="123"/>
      <c r="D47" s="125"/>
      <c r="E47" s="151"/>
      <c r="F47" s="124"/>
      <c r="G47" s="325">
        <f>0.2*I47</f>
        <v>0</v>
      </c>
      <c r="H47" s="338" t="str">
        <f>A47</f>
        <v>QUANT. TOTAL | PADRAO ALMOÇO</v>
      </c>
      <c r="I47" s="349">
        <f>(B5*B47*'BASE PAX'!G22)+(B6*B47*'BASE PAX'!H22)</f>
        <v>0</v>
      </c>
      <c r="J47" s="328"/>
      <c r="K47" s="329"/>
    </row>
    <row r="48" spans="1:11" ht="20" customHeight="1" thickBot="1">
      <c r="A48" s="163" t="str">
        <f>'BASE PAX'!A23</f>
        <v>QUANT. TOTAL | PADRAO JANTAR</v>
      </c>
      <c r="B48" s="164">
        <f>'BASE PAX'!B23</f>
        <v>0</v>
      </c>
      <c r="C48" s="165"/>
      <c r="D48" s="166"/>
      <c r="E48" s="167"/>
      <c r="F48" s="168"/>
      <c r="G48" s="326">
        <f>0.2*I48</f>
        <v>0</v>
      </c>
      <c r="H48" s="347" t="str">
        <f>A48</f>
        <v>QUANT. TOTAL | PADRAO JANTAR</v>
      </c>
      <c r="I48" s="335">
        <f>(B5*B48*'BASE PAX'!G23)+(B6*B48*'BASE PAX'!H23)</f>
        <v>0</v>
      </c>
      <c r="J48" s="330"/>
      <c r="K48" s="331"/>
    </row>
    <row r="49" spans="1:16" ht="29" customHeight="1" thickBot="1">
      <c r="A49" s="161" t="s">
        <v>72</v>
      </c>
      <c r="B49" s="157"/>
      <c r="C49" s="158"/>
      <c r="D49" s="303"/>
      <c r="E49" s="104">
        <f>SUM(E31:E48)</f>
        <v>0</v>
      </c>
      <c r="F49" s="104">
        <f>SUM(F31:F48)</f>
        <v>0</v>
      </c>
      <c r="G49" s="327">
        <f>SUM(G31:G48)</f>
        <v>0</v>
      </c>
      <c r="H49" s="341" t="s">
        <v>55</v>
      </c>
      <c r="I49" s="342">
        <f>I31+I47+I48</f>
        <v>0</v>
      </c>
      <c r="J49" s="358">
        <f>I49+E49</f>
        <v>0</v>
      </c>
      <c r="K49" s="332" t="s">
        <v>160</v>
      </c>
    </row>
    <row r="50" spans="1:16" s="8" customFormat="1" ht="11" customHeight="1" thickBot="1">
      <c r="A50" s="16"/>
      <c r="B50" s="56"/>
      <c r="C50" s="105"/>
      <c r="D50" s="102"/>
      <c r="E50" s="102"/>
      <c r="F50" s="7"/>
      <c r="G50" s="17"/>
      <c r="H50" s="7"/>
      <c r="I50" s="7"/>
      <c r="J50" s="7"/>
      <c r="K50" s="7"/>
      <c r="L50" s="7"/>
      <c r="M50" s="7"/>
      <c r="N50" s="7"/>
      <c r="O50" s="7"/>
      <c r="P50" s="7"/>
    </row>
    <row r="51" spans="1:16" ht="34" customHeight="1" thickBot="1">
      <c r="A51" s="21" t="s">
        <v>161</v>
      </c>
      <c r="B51" s="207" t="s">
        <v>52</v>
      </c>
      <c r="C51" s="208" t="s">
        <v>53</v>
      </c>
      <c r="D51" s="209" t="s">
        <v>54</v>
      </c>
      <c r="E51" s="172" t="s">
        <v>55</v>
      </c>
      <c r="F51" s="142" t="s">
        <v>158</v>
      </c>
      <c r="G51" s="182" t="s">
        <v>159</v>
      </c>
    </row>
    <row r="52" spans="1:16" ht="20" customHeight="1">
      <c r="A52" s="76" t="str">
        <f>'BASE PAX'!A27</f>
        <v>SUCOS</v>
      </c>
      <c r="B52" s="205">
        <f>'BASE PAX'!B27</f>
        <v>0</v>
      </c>
      <c r="C52" s="193">
        <f>'BASE PAX'!C27</f>
        <v>0</v>
      </c>
      <c r="D52" s="206">
        <f t="shared" ref="D52:D58" si="6">(C52*0.2)+C52</f>
        <v>0</v>
      </c>
      <c r="E52" s="174">
        <f t="shared" ref="E52:E58" si="7">D52*B52</f>
        <v>0</v>
      </c>
      <c r="F52" s="173">
        <f t="shared" ref="F52:F58" si="8">B52*C52</f>
        <v>0</v>
      </c>
      <c r="G52" s="183">
        <f t="shared" ref="G52:G59" si="9">E52-F52</f>
        <v>0</v>
      </c>
    </row>
    <row r="53" spans="1:16" ht="20" customHeight="1">
      <c r="A53" s="76" t="str">
        <f>'BASE PAX'!A28</f>
        <v>SUCOS</v>
      </c>
      <c r="B53" s="205">
        <f>'BASE PAX'!B28</f>
        <v>0</v>
      </c>
      <c r="C53" s="175">
        <f>'BASE PAX'!C28</f>
        <v>0</v>
      </c>
      <c r="D53" s="176">
        <f t="shared" si="6"/>
        <v>0</v>
      </c>
      <c r="E53" s="174">
        <f t="shared" si="7"/>
        <v>0</v>
      </c>
      <c r="F53" s="173">
        <f t="shared" si="8"/>
        <v>0</v>
      </c>
      <c r="G53" s="183">
        <f t="shared" si="9"/>
        <v>0</v>
      </c>
    </row>
    <row r="54" spans="1:16" ht="20" customHeight="1">
      <c r="A54" s="87" t="str">
        <f>'BASE PAX'!A29</f>
        <v>CERVEJAS</v>
      </c>
      <c r="B54" s="205">
        <f>'BASE PAX'!B29</f>
        <v>0</v>
      </c>
      <c r="C54" s="175">
        <f>'BASE PAX'!C29</f>
        <v>2000</v>
      </c>
      <c r="D54" s="176">
        <f t="shared" si="6"/>
        <v>2400</v>
      </c>
      <c r="E54" s="174">
        <f t="shared" si="7"/>
        <v>0</v>
      </c>
      <c r="F54" s="173">
        <f t="shared" si="8"/>
        <v>0</v>
      </c>
      <c r="G54" s="183">
        <f t="shared" si="9"/>
        <v>0</v>
      </c>
    </row>
    <row r="55" spans="1:16" ht="20" customHeight="1">
      <c r="A55" s="87" t="str">
        <f>'BASE PAX'!A30</f>
        <v>VINHOS</v>
      </c>
      <c r="B55" s="205">
        <f>'BASE PAX'!B30</f>
        <v>0</v>
      </c>
      <c r="C55" s="175">
        <f>'BASE PAX'!C30</f>
        <v>8000</v>
      </c>
      <c r="D55" s="176">
        <f t="shared" si="6"/>
        <v>9600</v>
      </c>
      <c r="E55" s="174">
        <f t="shared" si="7"/>
        <v>0</v>
      </c>
      <c r="F55" s="173">
        <f t="shared" si="8"/>
        <v>0</v>
      </c>
      <c r="G55" s="183">
        <f t="shared" si="9"/>
        <v>0</v>
      </c>
    </row>
    <row r="56" spans="1:16" ht="20" customHeight="1">
      <c r="A56" s="87" t="str">
        <f>'BASE PAX'!A31</f>
        <v>DRINKS</v>
      </c>
      <c r="B56" s="205">
        <f>'BASE PAX'!B31</f>
        <v>0</v>
      </c>
      <c r="C56" s="175">
        <f>'BASE PAX'!C31</f>
        <v>15000</v>
      </c>
      <c r="D56" s="176">
        <f t="shared" si="6"/>
        <v>18000</v>
      </c>
      <c r="E56" s="174">
        <f t="shared" si="7"/>
        <v>0</v>
      </c>
      <c r="F56" s="173">
        <f t="shared" si="8"/>
        <v>0</v>
      </c>
      <c r="G56" s="183">
        <f t="shared" si="9"/>
        <v>0</v>
      </c>
    </row>
    <row r="57" spans="1:16" ht="20" customHeight="1">
      <c r="A57" s="87" t="str">
        <f>'BASE PAX'!A32</f>
        <v>COOLER</v>
      </c>
      <c r="B57" s="205">
        <f>'BASE PAX'!B32</f>
        <v>0</v>
      </c>
      <c r="C57" s="175">
        <f>'BASE PAX'!C32</f>
        <v>5000</v>
      </c>
      <c r="D57" s="176">
        <f t="shared" si="6"/>
        <v>6000</v>
      </c>
      <c r="E57" s="174">
        <f t="shared" si="7"/>
        <v>0</v>
      </c>
      <c r="F57" s="173">
        <f t="shared" si="8"/>
        <v>0</v>
      </c>
      <c r="G57" s="183">
        <f t="shared" si="9"/>
        <v>0</v>
      </c>
    </row>
    <row r="58" spans="1:16" ht="20" customHeight="1" thickBot="1">
      <c r="A58" s="180">
        <f>'BASE PAX'!A33</f>
        <v>0</v>
      </c>
      <c r="B58" s="205">
        <f>'BASE PAX'!B33</f>
        <v>0</v>
      </c>
      <c r="C58" s="178">
        <f>'BASE PAX'!C33</f>
        <v>0</v>
      </c>
      <c r="D58" s="179">
        <f t="shared" si="6"/>
        <v>0</v>
      </c>
      <c r="E58" s="184">
        <f t="shared" si="7"/>
        <v>0</v>
      </c>
      <c r="F58" s="185">
        <f t="shared" si="8"/>
        <v>0</v>
      </c>
      <c r="G58" s="186">
        <f t="shared" si="9"/>
        <v>0</v>
      </c>
    </row>
    <row r="59" spans="1:16" ht="48" customHeight="1" thickBot="1">
      <c r="A59" s="21" t="s">
        <v>79</v>
      </c>
      <c r="B59" s="77"/>
      <c r="C59" s="126"/>
      <c r="D59" s="181"/>
      <c r="E59" s="127">
        <f>SUM(E52:E58)</f>
        <v>0</v>
      </c>
      <c r="F59" s="188">
        <f>SUM(F52:F58)</f>
        <v>0</v>
      </c>
      <c r="G59" s="189">
        <f t="shared" si="9"/>
        <v>0</v>
      </c>
    </row>
    <row r="60" spans="1:16" s="8" customFormat="1" ht="11" customHeight="1" thickBot="1">
      <c r="A60" s="16"/>
      <c r="B60" s="56"/>
      <c r="C60" s="105"/>
      <c r="D60" s="102"/>
      <c r="E60" s="102"/>
      <c r="F60" s="7"/>
      <c r="G60" s="17"/>
      <c r="H60" s="7"/>
      <c r="I60" s="7"/>
      <c r="J60" s="7"/>
      <c r="K60" s="7"/>
      <c r="L60" s="7"/>
      <c r="M60" s="7"/>
      <c r="N60" s="7"/>
      <c r="O60" s="7"/>
      <c r="P60" s="7"/>
    </row>
    <row r="61" spans="1:16" s="10" customFormat="1" ht="42" customHeight="1" thickBot="1">
      <c r="A61" s="226" t="s">
        <v>18</v>
      </c>
      <c r="B61" s="227" t="s">
        <v>52</v>
      </c>
      <c r="C61" s="228" t="s">
        <v>53</v>
      </c>
      <c r="D61" s="229" t="s">
        <v>54</v>
      </c>
      <c r="E61" s="229" t="s">
        <v>55</v>
      </c>
      <c r="F61" s="228" t="s">
        <v>158</v>
      </c>
      <c r="G61" s="230" t="s">
        <v>159</v>
      </c>
    </row>
    <row r="62" spans="1:16" ht="20" customHeight="1">
      <c r="A62" s="223" t="str">
        <f>'BASE PAX'!A37</f>
        <v>HOTTUBE</v>
      </c>
      <c r="B62" s="224">
        <f>'BASE PAX'!B37</f>
        <v>0</v>
      </c>
      <c r="C62" s="195">
        <f>'BASE PAX'!C37</f>
        <v>12000</v>
      </c>
      <c r="D62" s="225">
        <f t="shared" ref="D62:D71" si="10">C62*0.2+C62</f>
        <v>14400</v>
      </c>
      <c r="E62" s="225">
        <f t="shared" ref="E62:E71" si="11">D62*B62</f>
        <v>0</v>
      </c>
      <c r="F62" s="195">
        <f t="shared" ref="F62:F72" si="12">B62*C62</f>
        <v>0</v>
      </c>
      <c r="G62" s="194">
        <f t="shared" ref="G62:G72" si="13">E62-F62</f>
        <v>0</v>
      </c>
    </row>
    <row r="63" spans="1:16" ht="20" customHeight="1">
      <c r="A63" s="219" t="str">
        <f>'BASE PAX'!A38</f>
        <v>TREKKING 1/2 DAY</v>
      </c>
      <c r="B63" s="224">
        <f>'BASE PAX'!B38</f>
        <v>0</v>
      </c>
      <c r="C63" s="196">
        <f>'BASE PAX'!C38</f>
        <v>60000</v>
      </c>
      <c r="D63" s="220">
        <f t="shared" si="10"/>
        <v>72000</v>
      </c>
      <c r="E63" s="220">
        <f t="shared" si="11"/>
        <v>0</v>
      </c>
      <c r="F63" s="196">
        <f t="shared" si="12"/>
        <v>0</v>
      </c>
      <c r="G63" s="190">
        <f t="shared" si="13"/>
        <v>0</v>
      </c>
    </row>
    <row r="64" spans="1:16" ht="20" customHeight="1">
      <c r="A64" s="219" t="str">
        <f>'BASE PAX'!A39</f>
        <v>TREKKING FUK DAY</v>
      </c>
      <c r="B64" s="224">
        <f>'BASE PAX'!B39</f>
        <v>0</v>
      </c>
      <c r="C64" s="196">
        <f>'BASE PAX'!C39</f>
        <v>90000</v>
      </c>
      <c r="D64" s="220">
        <f t="shared" si="10"/>
        <v>108000</v>
      </c>
      <c r="E64" s="220">
        <f t="shared" si="11"/>
        <v>0</v>
      </c>
      <c r="F64" s="196">
        <f t="shared" si="12"/>
        <v>0</v>
      </c>
      <c r="G64" s="190">
        <f t="shared" si="13"/>
        <v>0</v>
      </c>
    </row>
    <row r="65" spans="1:16" ht="20" customHeight="1">
      <c r="A65" s="219" t="str">
        <f>'BASE PAX'!A40</f>
        <v>FLOTADA FAMILIAR</v>
      </c>
      <c r="B65" s="224">
        <f>'BASE PAX'!B40</f>
        <v>0</v>
      </c>
      <c r="C65" s="196">
        <f>'BASE PAX'!C40</f>
        <v>60000</v>
      </c>
      <c r="D65" s="220">
        <f t="shared" si="10"/>
        <v>72000</v>
      </c>
      <c r="E65" s="220">
        <f t="shared" si="11"/>
        <v>0</v>
      </c>
      <c r="F65" s="196">
        <f t="shared" si="12"/>
        <v>0</v>
      </c>
      <c r="G65" s="190">
        <f t="shared" si="13"/>
        <v>0</v>
      </c>
    </row>
    <row r="66" spans="1:16" ht="20" customHeight="1">
      <c r="A66" s="219" t="str">
        <f>'BASE PAX'!A41</f>
        <v>RAFTING 1/2 DAY</v>
      </c>
      <c r="B66" s="224">
        <f>'BASE PAX'!B41</f>
        <v>0</v>
      </c>
      <c r="C66" s="196">
        <f>'BASE PAX'!C41</f>
        <v>75000</v>
      </c>
      <c r="D66" s="220">
        <f t="shared" si="10"/>
        <v>90000</v>
      </c>
      <c r="E66" s="220">
        <f t="shared" si="11"/>
        <v>0</v>
      </c>
      <c r="F66" s="196">
        <f t="shared" si="12"/>
        <v>0</v>
      </c>
      <c r="G66" s="190">
        <f t="shared" si="13"/>
        <v>0</v>
      </c>
    </row>
    <row r="67" spans="1:16" ht="20" customHeight="1">
      <c r="A67" s="219" t="str">
        <f>'BASE PAX'!A42</f>
        <v>RAFTING FULL DAY</v>
      </c>
      <c r="B67" s="224">
        <f>'BASE PAX'!B42</f>
        <v>0</v>
      </c>
      <c r="C67" s="196">
        <f>'BASE PAX'!C42</f>
        <v>110000</v>
      </c>
      <c r="D67" s="220">
        <f t="shared" si="10"/>
        <v>132000</v>
      </c>
      <c r="E67" s="220">
        <f t="shared" si="11"/>
        <v>0</v>
      </c>
      <c r="F67" s="196">
        <f t="shared" si="12"/>
        <v>0</v>
      </c>
      <c r="G67" s="190">
        <f t="shared" si="13"/>
        <v>0</v>
      </c>
    </row>
    <row r="68" spans="1:16" ht="20" customHeight="1">
      <c r="A68" s="219" t="str">
        <f>'BASE PAX'!A43</f>
        <v>CABALGADA 1/2 DAy</v>
      </c>
      <c r="B68" s="224">
        <f>'BASE PAX'!B43</f>
        <v>0</v>
      </c>
      <c r="C68" s="196">
        <f>'BASE PAX'!C43</f>
        <v>90000</v>
      </c>
      <c r="D68" s="220">
        <f t="shared" si="10"/>
        <v>108000</v>
      </c>
      <c r="E68" s="220">
        <f t="shared" si="11"/>
        <v>0</v>
      </c>
      <c r="F68" s="196">
        <f t="shared" si="12"/>
        <v>0</v>
      </c>
      <c r="G68" s="190">
        <f t="shared" si="13"/>
        <v>0</v>
      </c>
    </row>
    <row r="69" spans="1:16" ht="20" customHeight="1">
      <c r="A69" s="219" t="str">
        <f>'BASE PAX'!A44</f>
        <v>CABALGADA FULL DAY</v>
      </c>
      <c r="B69" s="224">
        <f>'BASE PAX'!B44</f>
        <v>0</v>
      </c>
      <c r="C69" s="196">
        <f>'BASE PAX'!C44</f>
        <v>140000</v>
      </c>
      <c r="D69" s="220">
        <f t="shared" si="10"/>
        <v>168000</v>
      </c>
      <c r="E69" s="220">
        <f t="shared" si="11"/>
        <v>0</v>
      </c>
      <c r="F69" s="196">
        <f t="shared" si="12"/>
        <v>0</v>
      </c>
      <c r="G69" s="190">
        <f t="shared" si="13"/>
        <v>0</v>
      </c>
    </row>
    <row r="70" spans="1:16" ht="20" customHeight="1">
      <c r="A70" s="219" t="str">
        <f>'BASE PAX'!A45</f>
        <v>LANCHA YELCHO</v>
      </c>
      <c r="B70" s="224">
        <f>'BASE PAX'!B45</f>
        <v>0</v>
      </c>
      <c r="C70" s="196">
        <f>'BASE PAX'!C45</f>
        <v>120000</v>
      </c>
      <c r="D70" s="220">
        <f t="shared" si="10"/>
        <v>144000</v>
      </c>
      <c r="E70" s="220">
        <f t="shared" si="11"/>
        <v>0</v>
      </c>
      <c r="F70" s="196">
        <f t="shared" si="12"/>
        <v>0</v>
      </c>
      <c r="G70" s="190">
        <f t="shared" si="13"/>
        <v>0</v>
      </c>
    </row>
    <row r="71" spans="1:16" ht="20" customHeight="1" thickBot="1">
      <c r="A71" s="221" t="str">
        <f>'BASE PAX'!A46</f>
        <v>RECREACAO INFANTIL 3HS</v>
      </c>
      <c r="B71" s="224">
        <f>'BASE PAX'!B46</f>
        <v>0</v>
      </c>
      <c r="C71" s="197">
        <f>'BASE PAX'!C46</f>
        <v>30000</v>
      </c>
      <c r="D71" s="220">
        <f t="shared" si="10"/>
        <v>36000</v>
      </c>
      <c r="E71" s="222">
        <f t="shared" si="11"/>
        <v>0</v>
      </c>
      <c r="F71" s="197">
        <f t="shared" si="12"/>
        <v>0</v>
      </c>
      <c r="G71" s="192">
        <f t="shared" si="13"/>
        <v>0</v>
      </c>
    </row>
    <row r="72" spans="1:16" ht="48" customHeight="1" thickBot="1">
      <c r="A72" s="22" t="s">
        <v>84</v>
      </c>
      <c r="B72" s="79"/>
      <c r="C72" s="128"/>
      <c r="D72" s="128"/>
      <c r="E72" s="198">
        <f>SUM(E62:E71)</f>
        <v>0</v>
      </c>
      <c r="F72" s="204">
        <f t="shared" si="12"/>
        <v>0</v>
      </c>
      <c r="G72" s="203">
        <f t="shared" si="13"/>
        <v>0</v>
      </c>
    </row>
    <row r="73" spans="1:16" ht="37" customHeight="1" thickBot="1"/>
    <row r="74" spans="1:16" s="8" customFormat="1" ht="36" customHeight="1" thickBot="1">
      <c r="A74" s="23" t="s">
        <v>116</v>
      </c>
      <c r="B74" s="214" t="s">
        <v>52</v>
      </c>
      <c r="C74" s="215" t="s">
        <v>53</v>
      </c>
      <c r="D74" s="153" t="s">
        <v>54</v>
      </c>
      <c r="E74" s="153" t="s">
        <v>55</v>
      </c>
      <c r="F74" s="143" t="s">
        <v>162</v>
      </c>
      <c r="G74" s="147" t="s">
        <v>159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 ht="20" customHeight="1">
      <c r="A75" s="88" t="str">
        <f>'BASE PAX'!A50</f>
        <v>TRANSFER AEROPORTO CHEGADA</v>
      </c>
      <c r="B75" s="211">
        <f>'BASE PAX'!B50</f>
        <v>0</v>
      </c>
      <c r="C75" s="213">
        <f>'BASE PAX'!C50</f>
        <v>80000</v>
      </c>
      <c r="D75" s="231">
        <f>C75*0.2+C75</f>
        <v>96000</v>
      </c>
      <c r="E75" s="231">
        <f>D75*B75</f>
        <v>0</v>
      </c>
      <c r="F75" s="210">
        <f>B75*C75</f>
        <v>0</v>
      </c>
      <c r="G75" s="199">
        <f t="shared" ref="G75:G80" si="14">E75-F75</f>
        <v>0</v>
      </c>
    </row>
    <row r="76" spans="1:16" ht="20" customHeight="1">
      <c r="A76" s="88" t="str">
        <f>'BASE PAX'!A51</f>
        <v>TRANSFER AEROPORTO PARTIDA</v>
      </c>
      <c r="B76" s="211">
        <f>'BASE PAX'!B51</f>
        <v>0</v>
      </c>
      <c r="C76" s="212">
        <f>'BASE PAX'!C51</f>
        <v>80000</v>
      </c>
      <c r="D76" s="232">
        <f>C76*0.2+C76</f>
        <v>96000</v>
      </c>
      <c r="E76" s="232">
        <f>D76*B76</f>
        <v>0</v>
      </c>
      <c r="F76" s="210">
        <f>B76*C76</f>
        <v>0</v>
      </c>
      <c r="G76" s="200">
        <f t="shared" si="14"/>
        <v>0</v>
      </c>
    </row>
    <row r="77" spans="1:16" ht="20" customHeight="1">
      <c r="A77" s="88" t="str">
        <f>'BASE PAX'!A52</f>
        <v>TRANSFERS INTERNO</v>
      </c>
      <c r="B77" s="211">
        <f>'BASE PAX'!B52</f>
        <v>0</v>
      </c>
      <c r="C77" s="212">
        <f>'BASE PAX'!C52</f>
        <v>18000</v>
      </c>
      <c r="D77" s="232">
        <f>C77*0.2+C77</f>
        <v>21600</v>
      </c>
      <c r="E77" s="232">
        <f>D77*B77</f>
        <v>0</v>
      </c>
      <c r="F77" s="210">
        <f>B77*C77</f>
        <v>0</v>
      </c>
      <c r="G77" s="200">
        <f t="shared" si="14"/>
        <v>0</v>
      </c>
    </row>
    <row r="78" spans="1:16" ht="20" customHeight="1">
      <c r="A78" s="88" t="str">
        <f>'BASE PAX'!A53</f>
        <v>EXTRAS 1</v>
      </c>
      <c r="B78" s="211">
        <f>'BASE PAX'!B53</f>
        <v>0</v>
      </c>
      <c r="C78" s="212">
        <f>'BASE PAX'!C53</f>
        <v>150000</v>
      </c>
      <c r="D78" s="232">
        <f>C78*0.2+C78</f>
        <v>180000</v>
      </c>
      <c r="E78" s="232">
        <f>D78*B78</f>
        <v>0</v>
      </c>
      <c r="F78" s="210">
        <f>B78*C78</f>
        <v>0</v>
      </c>
      <c r="G78" s="200">
        <f t="shared" si="14"/>
        <v>0</v>
      </c>
    </row>
    <row r="79" spans="1:16" ht="20" customHeight="1" thickBot="1">
      <c r="A79" s="218" t="str">
        <f>'BASE PAX'!A54</f>
        <v>EXTRAS 2</v>
      </c>
      <c r="B79" s="211">
        <f>'BASE PAX'!B54</f>
        <v>0</v>
      </c>
      <c r="C79" s="216">
        <f>'BASE PAX'!C54</f>
        <v>0</v>
      </c>
      <c r="D79" s="233">
        <f>C79*0.2+C79</f>
        <v>0</v>
      </c>
      <c r="E79" s="233">
        <f>D79*B79</f>
        <v>0</v>
      </c>
      <c r="F79" s="217">
        <f>B79*C79</f>
        <v>0</v>
      </c>
      <c r="G79" s="201">
        <f t="shared" si="14"/>
        <v>0</v>
      </c>
    </row>
    <row r="80" spans="1:16" ht="44" customHeight="1" thickBot="1">
      <c r="A80" s="23" t="s">
        <v>89</v>
      </c>
      <c r="B80" s="80"/>
      <c r="C80" s="130"/>
      <c r="D80" s="130"/>
      <c r="E80" s="131">
        <f>SUM(E75:E79)</f>
        <v>0</v>
      </c>
      <c r="F80" s="131">
        <f>SUM(F75:F79)</f>
        <v>0</v>
      </c>
      <c r="G80" s="203">
        <f t="shared" si="14"/>
        <v>0</v>
      </c>
    </row>
    <row r="81" spans="1:16" s="8" customFormat="1" ht="11" customHeight="1" thickBot="1">
      <c r="A81" s="16"/>
      <c r="B81" s="56"/>
      <c r="C81" s="105"/>
      <c r="D81" s="102"/>
      <c r="E81" s="102"/>
      <c r="F81" s="7"/>
      <c r="G81" s="17"/>
      <c r="H81" s="7"/>
      <c r="I81" s="7"/>
      <c r="J81" s="7"/>
      <c r="K81" s="7"/>
      <c r="L81" s="7"/>
      <c r="M81" s="7"/>
      <c r="N81" s="7"/>
      <c r="O81" s="7"/>
      <c r="P81" s="7"/>
    </row>
    <row r="82" spans="1:16" s="9" customFormat="1" ht="42" customHeight="1" thickBot="1">
      <c r="A82" s="246" t="s">
        <v>117</v>
      </c>
      <c r="B82" s="247" t="s">
        <v>52</v>
      </c>
      <c r="C82" s="248" t="s">
        <v>53</v>
      </c>
      <c r="D82" s="249" t="s">
        <v>54</v>
      </c>
      <c r="E82" s="249" t="s">
        <v>55</v>
      </c>
      <c r="F82" s="248" t="s">
        <v>162</v>
      </c>
      <c r="G82" s="147" t="s">
        <v>159</v>
      </c>
    </row>
    <row r="83" spans="1:16" ht="20" customHeight="1">
      <c r="A83" s="81" t="str">
        <f>'BASE PAX'!A58</f>
        <v>WS INSTRUCTOR</v>
      </c>
      <c r="B83" s="238">
        <f>'BASE PAX'!B58</f>
        <v>0</v>
      </c>
      <c r="C83" s="239">
        <f>'BASE PAX'!C58</f>
        <v>3415000</v>
      </c>
      <c r="D83" s="240">
        <f>(C83*0.15)+C83</f>
        <v>3927250</v>
      </c>
      <c r="E83" s="240">
        <f>D83*B83</f>
        <v>0</v>
      </c>
      <c r="F83" s="234">
        <f>B83*C83</f>
        <v>0</v>
      </c>
      <c r="G83" s="199">
        <f>E83-F83</f>
        <v>0</v>
      </c>
    </row>
    <row r="84" spans="1:16" ht="20" customHeight="1">
      <c r="A84" s="81" t="str">
        <f>'BASE PAX'!A59</f>
        <v>PRODUCER FEE</v>
      </c>
      <c r="B84" s="235">
        <f>'BASE PAX'!B59</f>
        <v>0</v>
      </c>
      <c r="C84" s="236">
        <f>'BASE PAX'!C59</f>
        <v>180000</v>
      </c>
      <c r="D84" s="237">
        <f>(C84*0.15)+C84</f>
        <v>207000</v>
      </c>
      <c r="E84" s="237">
        <f>D84*B84</f>
        <v>0</v>
      </c>
      <c r="F84" s="234">
        <f>B84*C84</f>
        <v>0</v>
      </c>
      <c r="G84" s="200">
        <f>E84-F84</f>
        <v>0</v>
      </c>
    </row>
    <row r="85" spans="1:16" ht="20" customHeight="1" thickBot="1">
      <c r="A85" s="241">
        <f>'BASE PAX'!A60</f>
        <v>0</v>
      </c>
      <c r="B85" s="242">
        <f>'BASE PAX'!B60</f>
        <v>0</v>
      </c>
      <c r="C85" s="243">
        <f>'BASE PAX'!C60</f>
        <v>20000</v>
      </c>
      <c r="D85" s="244">
        <f>(C85*0.15)+C85</f>
        <v>23000</v>
      </c>
      <c r="E85" s="244">
        <f>D85*B85</f>
        <v>0</v>
      </c>
      <c r="F85" s="245">
        <f>B85*C85</f>
        <v>0</v>
      </c>
      <c r="G85" s="201">
        <f>E85-F85</f>
        <v>0</v>
      </c>
    </row>
    <row r="86" spans="1:16" ht="41" customHeight="1" thickBot="1">
      <c r="A86" s="24" t="s">
        <v>163</v>
      </c>
      <c r="B86" s="82"/>
      <c r="C86" s="132"/>
      <c r="D86" s="132"/>
      <c r="E86" s="133">
        <f>SUM(E83:E85)</f>
        <v>0</v>
      </c>
      <c r="F86" s="133">
        <f>SUM(F81:F85)</f>
        <v>0</v>
      </c>
      <c r="G86" s="203">
        <f>E86-F86</f>
        <v>0</v>
      </c>
    </row>
    <row r="87" spans="1:16" s="8" customFormat="1" ht="11" customHeight="1" thickBot="1">
      <c r="A87" s="16"/>
      <c r="B87" s="56"/>
      <c r="C87" s="105"/>
      <c r="D87" s="102"/>
      <c r="E87" s="102"/>
      <c r="F87" s="7"/>
      <c r="G87" s="17"/>
      <c r="H87" s="7"/>
      <c r="I87" s="7"/>
      <c r="J87" s="7"/>
      <c r="K87" s="7"/>
      <c r="L87" s="7"/>
      <c r="M87" s="7"/>
      <c r="N87" s="7"/>
      <c r="O87" s="7"/>
      <c r="P87" s="7"/>
    </row>
    <row r="88" spans="1:16" ht="38" customHeight="1" thickBot="1">
      <c r="A88" s="258" t="s">
        <v>164</v>
      </c>
      <c r="B88" s="259" t="s">
        <v>92</v>
      </c>
      <c r="C88" s="250" t="s">
        <v>53</v>
      </c>
      <c r="D88" s="260" t="s">
        <v>54</v>
      </c>
      <c r="E88" s="260" t="s">
        <v>55</v>
      </c>
      <c r="F88" s="250"/>
      <c r="G88" s="147" t="s">
        <v>159</v>
      </c>
    </row>
    <row r="89" spans="1:16" ht="20" customHeight="1">
      <c r="A89" s="255" t="str">
        <f>'BASE PAX'!A64</f>
        <v>COORDENAÇÃO PRODUÇÃO</v>
      </c>
      <c r="B89" s="256">
        <f>'BASE PAX'!B64</f>
        <v>0</v>
      </c>
      <c r="C89" s="257">
        <f>'BASE PAX'!C64</f>
        <v>50000</v>
      </c>
      <c r="D89" s="257">
        <f>'BASE PAX'!D64</f>
        <v>0</v>
      </c>
      <c r="E89" s="121">
        <f>D89*B89</f>
        <v>0</v>
      </c>
      <c r="F89" s="257"/>
      <c r="G89" s="199">
        <f t="shared" ref="G89:G94" si="15">E89*0.2</f>
        <v>0</v>
      </c>
    </row>
    <row r="90" spans="1:16" ht="20" customHeight="1">
      <c r="A90" s="251" t="str">
        <f>'BASE PAX'!A65</f>
        <v>EXTRA MÃO DE OBRA</v>
      </c>
      <c r="B90" s="256">
        <f>'BASE PAX'!B65</f>
        <v>0</v>
      </c>
      <c r="C90" s="253">
        <f>'BASE PAX'!C65</f>
        <v>50000</v>
      </c>
      <c r="D90" s="253">
        <f>'BASE PAX'!D65</f>
        <v>0</v>
      </c>
      <c r="E90" s="121">
        <f t="shared" ref="E90:E94" si="16">D90*B90</f>
        <v>0</v>
      </c>
      <c r="F90" s="253"/>
      <c r="G90" s="199">
        <f t="shared" si="15"/>
        <v>0</v>
      </c>
    </row>
    <row r="91" spans="1:16" ht="20" customHeight="1">
      <c r="A91" s="251" t="str">
        <f>'BASE PAX'!A66</f>
        <v>TAXA LIMPEZA CHECK IN / CHECKOUT</v>
      </c>
      <c r="B91" s="252">
        <f>'BASE PAX'!B66</f>
        <v>0</v>
      </c>
      <c r="C91" s="253">
        <f>'BASE PAX'!C66</f>
        <v>40000</v>
      </c>
      <c r="D91" s="253">
        <f>'BASE PAX'!D66</f>
        <v>0</v>
      </c>
      <c r="E91" s="121">
        <f t="shared" si="16"/>
        <v>0</v>
      </c>
      <c r="F91" s="253"/>
      <c r="G91" s="199">
        <f t="shared" si="15"/>
        <v>0</v>
      </c>
    </row>
    <row r="92" spans="1:16" ht="20" customHeight="1">
      <c r="A92" s="251" t="str">
        <f>'BASE PAX'!A67</f>
        <v>TAXA LIMPEZA DIARIA</v>
      </c>
      <c r="B92" s="254">
        <f>'BASE PAX'!B67</f>
        <v>0</v>
      </c>
      <c r="C92" s="253">
        <f>'BASE PAX'!C67</f>
        <v>30000</v>
      </c>
      <c r="D92" s="253">
        <f>'BASE PAX'!D67</f>
        <v>0</v>
      </c>
      <c r="E92" s="121">
        <f t="shared" si="16"/>
        <v>0</v>
      </c>
      <c r="F92" s="253"/>
      <c r="G92" s="199">
        <f t="shared" si="15"/>
        <v>0</v>
      </c>
    </row>
    <row r="93" spans="1:16" ht="20" customHeight="1">
      <c r="A93" s="251" t="str">
        <f>'BASE PAX'!A68</f>
        <v>SOUVENIR</v>
      </c>
      <c r="B93" s="252">
        <f>'BASE PAX'!B68</f>
        <v>0</v>
      </c>
      <c r="C93" s="253">
        <f>'BASE PAX'!C68</f>
        <v>15000</v>
      </c>
      <c r="D93" s="253">
        <f>'BASE PAX'!D68</f>
        <v>0</v>
      </c>
      <c r="E93" s="121">
        <f t="shared" si="16"/>
        <v>0</v>
      </c>
      <c r="F93" s="253"/>
      <c r="G93" s="199">
        <f t="shared" si="15"/>
        <v>0</v>
      </c>
    </row>
    <row r="94" spans="1:16" ht="20" customHeight="1" thickBot="1">
      <c r="A94" s="251" t="str">
        <f>'BASE PAX'!A69</f>
        <v>ASSISTENTE COORDENAÇÃO</v>
      </c>
      <c r="B94" s="256">
        <f>'BASE PAX'!B69</f>
        <v>0</v>
      </c>
      <c r="C94" s="253">
        <f>'BASE PAX'!C69</f>
        <v>30000</v>
      </c>
      <c r="D94" s="253">
        <f>'BASE PAX'!D69</f>
        <v>0</v>
      </c>
      <c r="E94" s="121">
        <f t="shared" si="16"/>
        <v>0</v>
      </c>
      <c r="F94" s="253"/>
      <c r="G94" s="199">
        <f t="shared" si="15"/>
        <v>0</v>
      </c>
    </row>
    <row r="95" spans="1:16" ht="41" customHeight="1" thickBot="1">
      <c r="A95" s="25" t="s">
        <v>101</v>
      </c>
      <c r="B95" s="83"/>
      <c r="C95" s="134"/>
      <c r="D95" s="134"/>
      <c r="E95" s="135">
        <f>SUM(E89:E94)</f>
        <v>0</v>
      </c>
      <c r="F95" s="135"/>
      <c r="G95" s="203">
        <f>SUM(G89:G94)</f>
        <v>0</v>
      </c>
    </row>
    <row r="96" spans="1:16" s="8" customFormat="1" ht="11" customHeight="1" thickBot="1">
      <c r="A96" s="16"/>
      <c r="B96" s="56"/>
      <c r="C96" s="105"/>
      <c r="D96" s="102"/>
      <c r="E96" s="102"/>
      <c r="F96" s="7"/>
      <c r="G96" s="17"/>
      <c r="H96" s="7"/>
      <c r="I96" s="7"/>
      <c r="J96" s="7"/>
      <c r="K96" s="7"/>
      <c r="L96" s="7"/>
      <c r="M96" s="7"/>
      <c r="N96" s="7"/>
      <c r="O96" s="7"/>
      <c r="P96" s="7"/>
    </row>
    <row r="97" spans="1:16" ht="38" customHeight="1" thickBot="1">
      <c r="A97" s="26" t="s">
        <v>165</v>
      </c>
      <c r="B97" s="27" t="s">
        <v>92</v>
      </c>
      <c r="C97" s="136" t="s">
        <v>53</v>
      </c>
      <c r="D97" s="136" t="s">
        <v>54</v>
      </c>
      <c r="E97" s="137" t="s">
        <v>55</v>
      </c>
      <c r="F97" s="20"/>
      <c r="G97" s="20"/>
    </row>
    <row r="98" spans="1:16" ht="23" customHeight="1" thickBot="1">
      <c r="A98" s="84" t="str">
        <f>'BASE PAX'!A73</f>
        <v xml:space="preserve">QUINCHO DAY USE / CABIN </v>
      </c>
      <c r="B98" s="85">
        <f>'BASE PAX'!B73</f>
        <v>0</v>
      </c>
      <c r="C98" s="138">
        <f>'BASE PAX'!C73</f>
        <v>15000</v>
      </c>
      <c r="D98" s="138">
        <f>C98+(C98*0.2)</f>
        <v>18000</v>
      </c>
      <c r="E98" s="139">
        <f>D98*B98</f>
        <v>0</v>
      </c>
      <c r="F98" s="19"/>
      <c r="G98" s="17"/>
    </row>
    <row r="99" spans="1:16" ht="42" customHeight="1" thickBot="1">
      <c r="A99" s="26" t="s">
        <v>104</v>
      </c>
      <c r="B99" s="86"/>
      <c r="C99" s="140"/>
      <c r="D99" s="140"/>
      <c r="E99" s="141">
        <f>E98</f>
        <v>0</v>
      </c>
    </row>
    <row r="100" spans="1:16" s="6" customFormat="1" ht="20" customHeight="1">
      <c r="A100" s="28"/>
      <c r="B100" s="52"/>
      <c r="C100" s="11"/>
      <c r="D100" s="11"/>
      <c r="E100" s="11"/>
      <c r="F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9" customHeight="1"/>
  </sheetData>
  <sheetProtection sheet="1" objects="1" scenarios="1"/>
  <mergeCells count="17">
    <mergeCell ref="A11:A12"/>
    <mergeCell ref="A28:D28"/>
    <mergeCell ref="B5:C5"/>
    <mergeCell ref="F20:F21"/>
    <mergeCell ref="B11:B12"/>
    <mergeCell ref="D11:D12"/>
    <mergeCell ref="B9:C9"/>
    <mergeCell ref="D9:E9"/>
    <mergeCell ref="B8:C8"/>
    <mergeCell ref="D8:E8"/>
    <mergeCell ref="D6:E6"/>
    <mergeCell ref="B6:C6"/>
    <mergeCell ref="I11:K11"/>
    <mergeCell ref="D7:E7"/>
    <mergeCell ref="B7:C7"/>
    <mergeCell ref="F11:G13"/>
    <mergeCell ref="G20:G21"/>
  </mergeCell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P101"/>
  <sheetViews>
    <sheetView topLeftCell="A2" zoomScale="120" zoomScaleNormal="120" workbookViewId="0">
      <selection activeCell="C92" sqref="C92"/>
    </sheetView>
  </sheetViews>
  <sheetFormatPr baseColWidth="10" defaultColWidth="11" defaultRowHeight="17"/>
  <cols>
    <col min="1" max="1" width="48.796875" style="7" customWidth="1"/>
    <col min="2" max="2" width="23.796875" style="52" customWidth="1"/>
    <col min="3" max="3" width="24" style="7" customWidth="1"/>
    <col min="4" max="4" width="22.796875" style="12" customWidth="1"/>
    <col min="5" max="5" width="22.19921875" style="11" customWidth="1"/>
    <col min="6" max="6" width="31.19921875" style="7" customWidth="1"/>
    <col min="7" max="7" width="27.796875" style="6" customWidth="1"/>
    <col min="8" max="8" width="32.3984375" style="7" customWidth="1"/>
    <col min="9" max="9" width="23.59765625" style="7" customWidth="1"/>
    <col min="10" max="10" width="25.19921875" style="7" customWidth="1"/>
    <col min="11" max="11" width="28.796875" style="7" customWidth="1"/>
    <col min="12" max="12" width="36.19921875" style="7" customWidth="1"/>
    <col min="13" max="28" width="11" style="7" customWidth="1"/>
    <col min="29" max="16384" width="11" style="7"/>
  </cols>
  <sheetData>
    <row r="1" spans="1:16" ht="22" hidden="1" customHeight="1" thickBot="1"/>
    <row r="2" spans="1:16" ht="7" customHeight="1">
      <c r="D2" s="13"/>
    </row>
    <row r="3" spans="1:16" s="10" customFormat="1" ht="1" customHeight="1">
      <c r="A3" s="14"/>
      <c r="B3" s="53"/>
      <c r="C3" s="15" t="s">
        <v>11</v>
      </c>
      <c r="D3" s="15"/>
      <c r="E3" s="15"/>
      <c r="G3" s="9"/>
    </row>
    <row r="4" spans="1:16" s="10" customFormat="1" ht="19" customHeight="1">
      <c r="A4" s="14"/>
      <c r="B4" s="53"/>
      <c r="C4" s="15"/>
      <c r="D4" s="15"/>
      <c r="E4" s="15"/>
      <c r="G4" s="9"/>
    </row>
    <row r="5" spans="1:16" s="10" customFormat="1" ht="45" customHeight="1">
      <c r="A5" s="54" t="s">
        <v>129</v>
      </c>
      <c r="B5" s="674">
        <v>2</v>
      </c>
      <c r="C5" s="675"/>
      <c r="D5" s="277"/>
      <c r="E5" s="277" t="s">
        <v>12</v>
      </c>
      <c r="F5" s="278"/>
      <c r="G5" s="9"/>
    </row>
    <row r="6" spans="1:16" s="8" customFormat="1" ht="37" customHeight="1">
      <c r="A6" s="54" t="s">
        <v>130</v>
      </c>
      <c r="B6" s="683">
        <v>0</v>
      </c>
      <c r="C6" s="684"/>
      <c r="D6" s="682" t="s">
        <v>131</v>
      </c>
      <c r="E6" s="661"/>
      <c r="F6" s="106">
        <f>D21</f>
        <v>0</v>
      </c>
      <c r="G6" s="9"/>
      <c r="H6" s="10"/>
    </row>
    <row r="7" spans="1:16" s="8" customFormat="1" ht="33" customHeight="1">
      <c r="A7" s="55" t="s">
        <v>132</v>
      </c>
      <c r="B7" s="662">
        <f>CALENDAR!C2</f>
        <v>0</v>
      </c>
      <c r="C7" s="661"/>
      <c r="D7" s="660" t="s">
        <v>133</v>
      </c>
      <c r="E7" s="661"/>
      <c r="F7" s="107">
        <f>SUM(F12:F20)</f>
        <v>0</v>
      </c>
      <c r="G7" s="9"/>
      <c r="H7" s="10"/>
    </row>
    <row r="8" spans="1:16" s="8" customFormat="1" ht="31" customHeight="1">
      <c r="A8" s="54" t="s">
        <v>134</v>
      </c>
      <c r="B8" s="680">
        <f>CALENDAR!C3</f>
        <v>0</v>
      </c>
      <c r="C8" s="661"/>
      <c r="D8" s="681" t="s">
        <v>135</v>
      </c>
      <c r="E8" s="661"/>
      <c r="F8" s="108">
        <f>F6-F7</f>
        <v>0</v>
      </c>
      <c r="G8" s="9"/>
      <c r="H8" s="10"/>
    </row>
    <row r="9" spans="1:16" s="8" customFormat="1" ht="32" customHeight="1">
      <c r="A9" s="55" t="s">
        <v>136</v>
      </c>
      <c r="B9" s="678">
        <f>CALENDAR!J2</f>
        <v>0</v>
      </c>
      <c r="C9" s="661"/>
      <c r="D9" s="679" t="s">
        <v>137</v>
      </c>
      <c r="E9" s="661"/>
      <c r="F9" s="1"/>
      <c r="G9" s="9"/>
      <c r="H9" s="10"/>
    </row>
    <row r="10" spans="1:16" s="8" customFormat="1" ht="30" customHeight="1" thickBot="1">
      <c r="A10" s="16"/>
      <c r="B10" s="56"/>
      <c r="C10" s="6"/>
      <c r="D10" s="7"/>
      <c r="E10" s="7"/>
      <c r="F10" s="7"/>
      <c r="G10" s="17"/>
      <c r="H10" s="7"/>
      <c r="I10" s="7"/>
      <c r="J10" s="7"/>
      <c r="K10" s="7"/>
      <c r="L10" s="7"/>
      <c r="M10" s="7"/>
      <c r="N10" s="7"/>
      <c r="O10" s="7"/>
      <c r="P10" s="7"/>
    </row>
    <row r="11" spans="1:16" s="6" customFormat="1" ht="44" customHeight="1" thickBot="1">
      <c r="A11" s="671" t="s">
        <v>138</v>
      </c>
      <c r="B11" s="677" t="s">
        <v>139</v>
      </c>
      <c r="C11" s="57" t="s">
        <v>140</v>
      </c>
      <c r="D11" s="677" t="s">
        <v>141</v>
      </c>
      <c r="E11" s="7"/>
      <c r="F11" s="738" t="str">
        <f>E5</f>
        <v>NIRE</v>
      </c>
      <c r="G11" s="664"/>
      <c r="H11" s="7"/>
      <c r="I11" s="658" t="s">
        <v>142</v>
      </c>
      <c r="J11" s="659"/>
      <c r="K11" s="659"/>
      <c r="L11" s="7"/>
      <c r="M11" s="7"/>
      <c r="N11" s="7"/>
      <c r="O11" s="7"/>
      <c r="P11" s="7"/>
    </row>
    <row r="12" spans="1:16" s="6" customFormat="1" ht="32" customHeight="1">
      <c r="A12" s="659"/>
      <c r="B12" s="659"/>
      <c r="C12" s="58">
        <v>0.05</v>
      </c>
      <c r="D12" s="659"/>
      <c r="E12" s="7"/>
      <c r="F12" s="665"/>
      <c r="G12" s="666"/>
      <c r="H12" s="7"/>
      <c r="I12" s="59" t="s">
        <v>126</v>
      </c>
      <c r="J12" s="60" t="s">
        <v>143</v>
      </c>
      <c r="K12" s="60" t="s">
        <v>144</v>
      </c>
      <c r="L12" s="7"/>
      <c r="M12" s="7"/>
      <c r="N12" s="7"/>
      <c r="O12" s="7"/>
      <c r="P12" s="7"/>
    </row>
    <row r="13" spans="1:16" ht="22" customHeight="1" thickBot="1">
      <c r="A13" s="61" t="s">
        <v>15</v>
      </c>
      <c r="B13" s="109">
        <f>G28</f>
        <v>0</v>
      </c>
      <c r="C13" s="109">
        <f t="shared" ref="C13:C20" si="0">B13*$C$12</f>
        <v>0</v>
      </c>
      <c r="D13" s="109">
        <f t="shared" ref="D13:D20" si="1">B13+(B13*$C$12)</f>
        <v>0</v>
      </c>
      <c r="E13" s="7"/>
      <c r="F13" s="667"/>
      <c r="G13" s="668"/>
      <c r="I13" s="3"/>
      <c r="J13" s="4"/>
      <c r="K13" s="5"/>
    </row>
    <row r="14" spans="1:16" s="6" customFormat="1" ht="20" customHeight="1">
      <c r="A14" s="62" t="s">
        <v>16</v>
      </c>
      <c r="B14" s="110">
        <f>J49</f>
        <v>0</v>
      </c>
      <c r="C14" s="110">
        <f t="shared" si="0"/>
        <v>0</v>
      </c>
      <c r="D14" s="110">
        <f t="shared" si="1"/>
        <v>0</v>
      </c>
      <c r="E14" s="7"/>
      <c r="F14" s="271" t="str">
        <f t="shared" ref="F14:F19" si="2">A14</f>
        <v>2.FOOD</v>
      </c>
      <c r="G14" s="261">
        <f>G49</f>
        <v>0</v>
      </c>
      <c r="H14" s="7"/>
      <c r="I14" s="3"/>
      <c r="J14" s="4"/>
      <c r="K14" s="5"/>
      <c r="L14" s="7"/>
      <c r="M14" s="7"/>
      <c r="N14" s="7"/>
      <c r="O14" s="7"/>
      <c r="P14" s="7"/>
    </row>
    <row r="15" spans="1:16" s="6" customFormat="1" ht="20" customHeight="1">
      <c r="A15" s="63" t="s">
        <v>17</v>
      </c>
      <c r="B15" s="111">
        <f>E59</f>
        <v>0</v>
      </c>
      <c r="C15" s="111">
        <f t="shared" si="0"/>
        <v>0</v>
      </c>
      <c r="D15" s="111">
        <f t="shared" si="1"/>
        <v>0</v>
      </c>
      <c r="E15" s="7"/>
      <c r="F15" s="272" t="str">
        <f t="shared" si="2"/>
        <v>3.DRINKS</v>
      </c>
      <c r="G15" s="262">
        <f>G59</f>
        <v>0</v>
      </c>
      <c r="H15" s="7"/>
      <c r="I15" s="3"/>
      <c r="J15" s="4"/>
      <c r="K15" s="5"/>
      <c r="L15" s="7"/>
      <c r="M15" s="7"/>
      <c r="N15" s="7"/>
      <c r="O15" s="7"/>
      <c r="P15" s="7"/>
    </row>
    <row r="16" spans="1:16" s="6" customFormat="1" ht="20" customHeight="1">
      <c r="A16" s="55" t="s">
        <v>18</v>
      </c>
      <c r="B16" s="112">
        <f>$E$72</f>
        <v>0</v>
      </c>
      <c r="C16" s="112">
        <f t="shared" si="0"/>
        <v>0</v>
      </c>
      <c r="D16" s="112">
        <f t="shared" si="1"/>
        <v>0</v>
      </c>
      <c r="E16" s="7"/>
      <c r="F16" s="273" t="str">
        <f t="shared" si="2"/>
        <v>4. ACTIVITIES</v>
      </c>
      <c r="G16" s="263">
        <f>G72</f>
        <v>0</v>
      </c>
      <c r="H16" s="7"/>
      <c r="I16" s="3"/>
      <c r="J16" s="4"/>
      <c r="K16" s="5"/>
      <c r="L16" s="7"/>
      <c r="M16" s="7"/>
      <c r="N16" s="7"/>
      <c r="O16" s="7"/>
      <c r="P16" s="7"/>
    </row>
    <row r="17" spans="1:16" s="6" customFormat="1" ht="20" customHeight="1">
      <c r="A17" s="63" t="s">
        <v>19</v>
      </c>
      <c r="B17" s="111">
        <f>$E$80</f>
        <v>0</v>
      </c>
      <c r="C17" s="111">
        <f t="shared" si="0"/>
        <v>0</v>
      </c>
      <c r="D17" s="111">
        <f t="shared" si="1"/>
        <v>0</v>
      </c>
      <c r="E17" s="7"/>
      <c r="F17" s="274" t="str">
        <f t="shared" si="2"/>
        <v>5.TRANSPORT</v>
      </c>
      <c r="G17" s="174">
        <f>G80</f>
        <v>0</v>
      </c>
      <c r="H17" s="7"/>
      <c r="I17" s="3"/>
      <c r="J17" s="4"/>
      <c r="K17" s="5"/>
      <c r="L17" s="7"/>
      <c r="M17" s="7"/>
      <c r="N17" s="7"/>
      <c r="O17" s="7"/>
      <c r="P17" s="7"/>
    </row>
    <row r="18" spans="1:16" s="6" customFormat="1" ht="20" customHeight="1">
      <c r="A18" s="64" t="s">
        <v>20</v>
      </c>
      <c r="B18" s="113">
        <f>$E$86</f>
        <v>0</v>
      </c>
      <c r="C18" s="113">
        <f t="shared" si="0"/>
        <v>0</v>
      </c>
      <c r="D18" s="113">
        <f t="shared" si="1"/>
        <v>0</v>
      </c>
      <c r="E18" s="10"/>
      <c r="F18" s="275" t="str">
        <f t="shared" si="2"/>
        <v>6.EXPERIENCES</v>
      </c>
      <c r="G18" s="264">
        <f>G86</f>
        <v>0</v>
      </c>
      <c r="H18" s="7"/>
      <c r="I18" s="3"/>
      <c r="J18" s="4"/>
      <c r="K18" s="5"/>
      <c r="L18" s="7"/>
      <c r="M18" s="7"/>
      <c r="N18" s="7"/>
      <c r="O18" s="7"/>
      <c r="P18" s="7"/>
    </row>
    <row r="19" spans="1:16" s="6" customFormat="1" ht="20" customHeight="1">
      <c r="A19" s="65" t="s">
        <v>21</v>
      </c>
      <c r="B19" s="114">
        <f>$E$95</f>
        <v>0</v>
      </c>
      <c r="C19" s="114">
        <f t="shared" si="0"/>
        <v>0</v>
      </c>
      <c r="D19" s="114">
        <f t="shared" si="1"/>
        <v>0</v>
      </c>
      <c r="E19" s="7"/>
      <c r="F19" s="276" t="str">
        <f t="shared" si="2"/>
        <v>7.EXTRAS</v>
      </c>
      <c r="G19" s="151">
        <f>G95</f>
        <v>0</v>
      </c>
      <c r="H19" s="7"/>
      <c r="I19" s="3"/>
      <c r="J19" s="4"/>
      <c r="K19" s="5"/>
      <c r="L19" s="7"/>
      <c r="M19" s="7"/>
      <c r="N19" s="7"/>
      <c r="O19" s="7"/>
      <c r="P19" s="7"/>
    </row>
    <row r="20" spans="1:16" s="6" customFormat="1" ht="20" customHeight="1" thickBot="1">
      <c r="A20" s="66" t="s">
        <v>22</v>
      </c>
      <c r="B20" s="115">
        <f>$E$99</f>
        <v>0</v>
      </c>
      <c r="C20" s="115">
        <f t="shared" si="0"/>
        <v>0</v>
      </c>
      <c r="D20" s="115">
        <f t="shared" si="1"/>
        <v>0</v>
      </c>
      <c r="E20" s="7"/>
      <c r="F20" s="676" t="s">
        <v>145</v>
      </c>
      <c r="G20" s="669">
        <f>G14+G15+G16+G17+G18+G19</f>
        <v>0</v>
      </c>
      <c r="H20" s="7"/>
      <c r="I20" s="3"/>
      <c r="J20" s="4"/>
      <c r="K20" s="5"/>
      <c r="L20" s="7"/>
      <c r="M20" s="7"/>
      <c r="N20" s="7"/>
      <c r="O20" s="7"/>
      <c r="P20" s="7"/>
    </row>
    <row r="21" spans="1:16" ht="35" customHeight="1" thickBot="1">
      <c r="A21" s="67" t="s">
        <v>146</v>
      </c>
      <c r="B21" s="116">
        <f>SUM(B13:B20)</f>
        <v>0</v>
      </c>
      <c r="C21" s="116"/>
      <c r="D21" s="116">
        <f>SUM(D13:D20)</f>
        <v>0</v>
      </c>
      <c r="E21" s="51"/>
      <c r="F21" s="670"/>
      <c r="G21" s="670"/>
    </row>
    <row r="22" spans="1:16" s="8" customFormat="1" ht="11" customHeight="1" thickBot="1">
      <c r="A22" s="16"/>
      <c r="B22" s="56"/>
      <c r="C22" s="6"/>
      <c r="D22" s="7"/>
      <c r="E22" s="7"/>
      <c r="F22" s="7"/>
      <c r="G22" s="17"/>
      <c r="H22" s="7"/>
      <c r="I22" s="7"/>
      <c r="J22" s="7"/>
      <c r="K22" s="7"/>
      <c r="L22" s="7"/>
      <c r="M22" s="7"/>
      <c r="N22" s="7"/>
      <c r="O22" s="7"/>
      <c r="P22" s="7"/>
    </row>
    <row r="23" spans="1:16" ht="44" customHeight="1" thickBot="1">
      <c r="A23" s="68" t="s">
        <v>114</v>
      </c>
      <c r="B23" s="69" t="s">
        <v>52</v>
      </c>
      <c r="C23" s="69" t="s">
        <v>147</v>
      </c>
      <c r="D23" s="69" t="s">
        <v>148</v>
      </c>
      <c r="E23" s="70" t="s">
        <v>149</v>
      </c>
      <c r="F23" s="70" t="s">
        <v>150</v>
      </c>
      <c r="G23" s="70" t="s">
        <v>151</v>
      </c>
    </row>
    <row r="24" spans="1:16" ht="20" customHeight="1">
      <c r="A24" s="71" t="s">
        <v>166</v>
      </c>
      <c r="B24" s="93">
        <v>0</v>
      </c>
      <c r="C24" s="117">
        <f>249200</f>
        <v>249200</v>
      </c>
      <c r="D24" s="118"/>
      <c r="E24" s="119">
        <f>(C24+D24)*$B$9*B24</f>
        <v>0</v>
      </c>
      <c r="F24" s="2">
        <v>0</v>
      </c>
      <c r="G24" s="119">
        <f>E24-(E24*F24)</f>
        <v>0</v>
      </c>
    </row>
    <row r="25" spans="1:16" ht="20" customHeight="1">
      <c r="A25" s="71" t="s">
        <v>167</v>
      </c>
      <c r="B25" s="93">
        <v>1</v>
      </c>
      <c r="C25" s="117">
        <f>249200</f>
        <v>249200</v>
      </c>
      <c r="D25" s="118">
        <v>50000</v>
      </c>
      <c r="E25" s="119">
        <f>(C25+D25)*$B$9*B25</f>
        <v>0</v>
      </c>
      <c r="F25" s="2">
        <v>0</v>
      </c>
      <c r="G25" s="119">
        <f>E25-(E25*F25)</f>
        <v>0</v>
      </c>
    </row>
    <row r="26" spans="1:16" ht="20" customHeight="1">
      <c r="A26" s="71" t="s">
        <v>168</v>
      </c>
      <c r="B26" s="93">
        <v>0</v>
      </c>
      <c r="C26" s="117">
        <f>224280</f>
        <v>224280</v>
      </c>
      <c r="D26" s="118"/>
      <c r="E26" s="119">
        <f>(C26+D26)*$B$9*B26</f>
        <v>0</v>
      </c>
      <c r="F26" s="2">
        <v>0</v>
      </c>
      <c r="G26" s="119">
        <f>E26-(E26*F26)</f>
        <v>0</v>
      </c>
    </row>
    <row r="27" spans="1:16" ht="20" customHeight="1" thickBot="1">
      <c r="A27" s="71" t="s">
        <v>169</v>
      </c>
      <c r="B27" s="93">
        <v>0</v>
      </c>
      <c r="C27" s="117">
        <f>224280</f>
        <v>224280</v>
      </c>
      <c r="D27" s="118">
        <v>50000</v>
      </c>
      <c r="E27" s="119">
        <f>(C27+D27)*$B$9*B27</f>
        <v>0</v>
      </c>
      <c r="F27" s="2">
        <v>0</v>
      </c>
      <c r="G27" s="119">
        <f>E27-(E27*F27)</f>
        <v>0</v>
      </c>
    </row>
    <row r="28" spans="1:16" ht="29" customHeight="1" thickBot="1">
      <c r="A28" s="672" t="s">
        <v>156</v>
      </c>
      <c r="B28" s="673"/>
      <c r="C28" s="673"/>
      <c r="D28" s="673"/>
      <c r="E28" s="72"/>
      <c r="F28" s="73"/>
      <c r="G28" s="120">
        <f>SUM(G24:G27)</f>
        <v>0</v>
      </c>
    </row>
    <row r="29" spans="1:16" s="8" customFormat="1" ht="11" customHeight="1" thickBot="1">
      <c r="A29" s="16"/>
      <c r="B29" s="56"/>
      <c r="C29" s="6"/>
      <c r="D29" s="7"/>
      <c r="E29" s="7"/>
      <c r="F29" s="7"/>
      <c r="G29" s="17"/>
      <c r="H29" s="7"/>
      <c r="I29" s="286"/>
      <c r="J29" s="7"/>
      <c r="K29" s="7"/>
      <c r="L29" s="7"/>
      <c r="M29" s="7"/>
      <c r="N29" s="7"/>
      <c r="O29" s="7"/>
      <c r="P29" s="7"/>
    </row>
    <row r="30" spans="1:16" s="10" customFormat="1" ht="40" customHeight="1" thickBot="1">
      <c r="A30" s="18" t="s">
        <v>51</v>
      </c>
      <c r="B30" s="159" t="s">
        <v>52</v>
      </c>
      <c r="C30" s="160" t="s">
        <v>53</v>
      </c>
      <c r="D30" s="153" t="s">
        <v>54</v>
      </c>
      <c r="E30" s="149" t="s">
        <v>157</v>
      </c>
      <c r="F30" s="103" t="s">
        <v>158</v>
      </c>
      <c r="G30" s="147" t="s">
        <v>159</v>
      </c>
      <c r="I30" s="286"/>
    </row>
    <row r="31" spans="1:16" ht="20" customHeight="1" thickBot="1">
      <c r="A31" s="154" t="str">
        <f>'BASE PAX'!A6</f>
        <v>BREAKFAST</v>
      </c>
      <c r="B31" s="285">
        <f>(B5*B9*'BASE PAX'!G6)+('BASE PAX'!H6*B6*B9)</f>
        <v>0</v>
      </c>
      <c r="C31" s="121"/>
      <c r="D31" s="144"/>
      <c r="E31" s="283">
        <v>0</v>
      </c>
      <c r="F31" s="122">
        <f t="shared" ref="F31:F46" si="3">B31*C31</f>
        <v>0</v>
      </c>
      <c r="G31" s="325">
        <f>0.2*B31</f>
        <v>0</v>
      </c>
      <c r="H31" s="351" t="str">
        <f>A31</f>
        <v>BREAKFAST</v>
      </c>
      <c r="I31" s="353">
        <f>B31</f>
        <v>0</v>
      </c>
    </row>
    <row r="32" spans="1:16" ht="20" customHeight="1">
      <c r="A32" s="155" t="str">
        <f>'BASE PAX'!A7</f>
        <v>LUNCH 1</v>
      </c>
      <c r="B32" s="74">
        <f>($B$5+$B$6)*'BASE PAX'!B7</f>
        <v>0</v>
      </c>
      <c r="C32" s="123">
        <f>'BASE PAX'!C7</f>
        <v>40000</v>
      </c>
      <c r="D32" s="125">
        <f>'BASE PAX'!D7</f>
        <v>48000</v>
      </c>
      <c r="E32" s="151">
        <f t="shared" ref="E32:E46" si="4">D32*B32</f>
        <v>0</v>
      </c>
      <c r="F32" s="124">
        <f t="shared" si="3"/>
        <v>0</v>
      </c>
      <c r="G32" s="146">
        <f t="shared" ref="G32:G46" si="5">E32-F32</f>
        <v>0</v>
      </c>
      <c r="I32" s="290"/>
    </row>
    <row r="33" spans="1:11" ht="20" customHeight="1">
      <c r="A33" s="155" t="str">
        <f>'BASE PAX'!A8</f>
        <v>LUNCH 2</v>
      </c>
      <c r="B33" s="74">
        <f>($B$5+$B$6)*'BASE PAX'!B8</f>
        <v>0</v>
      </c>
      <c r="C33" s="123">
        <f>'BASE PAX'!C8</f>
        <v>40000</v>
      </c>
      <c r="D33" s="125">
        <f>'BASE PAX'!D8</f>
        <v>48000</v>
      </c>
      <c r="E33" s="151">
        <f t="shared" si="4"/>
        <v>0</v>
      </c>
      <c r="F33" s="124">
        <f t="shared" si="3"/>
        <v>0</v>
      </c>
      <c r="G33" s="146">
        <f t="shared" si="5"/>
        <v>0</v>
      </c>
      <c r="I33" s="290"/>
    </row>
    <row r="34" spans="1:11" ht="20" customHeight="1">
      <c r="A34" s="155" t="str">
        <f>'BASE PAX'!A9</f>
        <v>LUNCH 3</v>
      </c>
      <c r="B34" s="74">
        <f>($B$5+$B$6)*'BASE PAX'!B9</f>
        <v>0</v>
      </c>
      <c r="C34" s="123">
        <f>'BASE PAX'!C9</f>
        <v>40000</v>
      </c>
      <c r="D34" s="125">
        <f>'BASE PAX'!D9</f>
        <v>48000</v>
      </c>
      <c r="E34" s="151">
        <f t="shared" si="4"/>
        <v>0</v>
      </c>
      <c r="F34" s="124">
        <f t="shared" si="3"/>
        <v>0</v>
      </c>
      <c r="G34" s="146">
        <f t="shared" si="5"/>
        <v>0</v>
      </c>
      <c r="I34" s="290"/>
    </row>
    <row r="35" spans="1:11" ht="20" customHeight="1">
      <c r="A35" s="155" t="str">
        <f>'BASE PAX'!A10</f>
        <v>LUNCH 4</v>
      </c>
      <c r="B35" s="74">
        <f>($B$5+$B$6)*'BASE PAX'!B10</f>
        <v>0</v>
      </c>
      <c r="C35" s="123">
        <f>'BASE PAX'!C10</f>
        <v>45000</v>
      </c>
      <c r="D35" s="125">
        <f>'BASE PAX'!D10</f>
        <v>54000</v>
      </c>
      <c r="E35" s="151">
        <f t="shared" si="4"/>
        <v>0</v>
      </c>
      <c r="F35" s="124">
        <f t="shared" si="3"/>
        <v>0</v>
      </c>
      <c r="G35" s="146">
        <f t="shared" si="5"/>
        <v>0</v>
      </c>
      <c r="I35" s="290"/>
    </row>
    <row r="36" spans="1:11" ht="20" customHeight="1">
      <c r="A36" s="155" t="str">
        <f>'BASE PAX'!A11</f>
        <v>LUNCH 5</v>
      </c>
      <c r="B36" s="74">
        <f>($B$5+($B$6*0.6))*'BASE PAX'!B11</f>
        <v>0</v>
      </c>
      <c r="C36" s="123">
        <f>'BASE PAX'!C11</f>
        <v>50000</v>
      </c>
      <c r="D36" s="125">
        <f>'BASE PAX'!D11</f>
        <v>60000</v>
      </c>
      <c r="E36" s="151">
        <f t="shared" si="4"/>
        <v>0</v>
      </c>
      <c r="F36" s="124">
        <f t="shared" si="3"/>
        <v>0</v>
      </c>
      <c r="G36" s="146">
        <f t="shared" si="5"/>
        <v>0</v>
      </c>
      <c r="I36" s="290"/>
    </row>
    <row r="37" spans="1:11" ht="20" customHeight="1">
      <c r="A37" s="155" t="str">
        <f>'BASE PAX'!A12</f>
        <v>LUNCH 6</v>
      </c>
      <c r="B37" s="74">
        <f>($B$5+$B$6)*'BASE PAX'!B12</f>
        <v>0</v>
      </c>
      <c r="C37" s="123">
        <f>'BASE PAX'!C12</f>
        <v>0</v>
      </c>
      <c r="D37" s="125">
        <f>'BASE PAX'!D12</f>
        <v>0</v>
      </c>
      <c r="E37" s="151">
        <f t="shared" si="4"/>
        <v>0</v>
      </c>
      <c r="F37" s="124">
        <f t="shared" si="3"/>
        <v>0</v>
      </c>
      <c r="G37" s="146">
        <f t="shared" si="5"/>
        <v>0</v>
      </c>
      <c r="I37" s="290"/>
    </row>
    <row r="38" spans="1:11" ht="20" customHeight="1">
      <c r="A38" s="155" t="str">
        <f>'BASE PAX'!A13</f>
        <v>LUNCH 7</v>
      </c>
      <c r="B38" s="74">
        <f>($B$5+$B$6)*'BASE PAX'!B13</f>
        <v>0</v>
      </c>
      <c r="C38" s="123">
        <f>'BASE PAX'!C13</f>
        <v>5000</v>
      </c>
      <c r="D38" s="125">
        <f>'BASE PAX'!D13</f>
        <v>6000</v>
      </c>
      <c r="E38" s="151">
        <f t="shared" si="4"/>
        <v>0</v>
      </c>
      <c r="F38" s="124">
        <f t="shared" si="3"/>
        <v>0</v>
      </c>
      <c r="G38" s="146">
        <f t="shared" si="5"/>
        <v>0</v>
      </c>
      <c r="I38" s="290"/>
    </row>
    <row r="39" spans="1:11" ht="20" customHeight="1">
      <c r="A39" s="156" t="str">
        <f>'BASE PAX'!A14</f>
        <v>SNACKS</v>
      </c>
      <c r="B39" s="75">
        <f>($B$5+$B$6)*'BASE PAX'!B14</f>
        <v>0</v>
      </c>
      <c r="C39" s="125">
        <f>'BASE PAX'!C14</f>
        <v>8000</v>
      </c>
      <c r="D39" s="145">
        <f>'BASE PAX'!D14</f>
        <v>9600</v>
      </c>
      <c r="E39" s="150">
        <f t="shared" si="4"/>
        <v>0</v>
      </c>
      <c r="F39" s="122">
        <f t="shared" si="3"/>
        <v>0</v>
      </c>
      <c r="G39" s="146">
        <f t="shared" si="5"/>
        <v>0</v>
      </c>
      <c r="I39" s="290"/>
    </row>
    <row r="40" spans="1:11" ht="20" customHeight="1">
      <c r="A40" s="155" t="str">
        <f>'BASE PAX'!A15</f>
        <v>DINNER 1</v>
      </c>
      <c r="B40" s="74">
        <f>($B$5+($B$6*0.6))*'BASE PAX'!B15</f>
        <v>0</v>
      </c>
      <c r="C40" s="123">
        <f>'BASE PAX'!C15</f>
        <v>70000</v>
      </c>
      <c r="D40" s="125">
        <f>'BASE PAX'!D15</f>
        <v>84000</v>
      </c>
      <c r="E40" s="151">
        <f t="shared" si="4"/>
        <v>0</v>
      </c>
      <c r="F40" s="124">
        <f t="shared" si="3"/>
        <v>0</v>
      </c>
      <c r="G40" s="146">
        <f t="shared" si="5"/>
        <v>0</v>
      </c>
      <c r="H40" s="287"/>
      <c r="I40" s="291"/>
    </row>
    <row r="41" spans="1:11" ht="20" customHeight="1">
      <c r="A41" s="155" t="str">
        <f>'BASE PAX'!A16</f>
        <v>DINNER 2</v>
      </c>
      <c r="B41" s="74">
        <f>($B$5+($B$6*0.6))*'BASE PAX'!B16</f>
        <v>0</v>
      </c>
      <c r="C41" s="123">
        <f>'BASE PAX'!C16</f>
        <v>25000</v>
      </c>
      <c r="D41" s="125">
        <f>'BASE PAX'!D16</f>
        <v>30000</v>
      </c>
      <c r="E41" s="151">
        <f t="shared" si="4"/>
        <v>0</v>
      </c>
      <c r="F41" s="124">
        <f t="shared" si="3"/>
        <v>0</v>
      </c>
      <c r="G41" s="146">
        <f t="shared" si="5"/>
        <v>0</v>
      </c>
      <c r="I41" s="290"/>
    </row>
    <row r="42" spans="1:11" ht="20" customHeight="1">
      <c r="A42" s="155" t="str">
        <f>'BASE PAX'!A17</f>
        <v>DINNER 3</v>
      </c>
      <c r="B42" s="74">
        <f>($B$5+($B$6*0.6))*'BASE PAX'!B17</f>
        <v>0</v>
      </c>
      <c r="C42" s="123">
        <f>'BASE PAX'!C17</f>
        <v>50000</v>
      </c>
      <c r="D42" s="125">
        <f>'BASE PAX'!D17</f>
        <v>60000</v>
      </c>
      <c r="E42" s="151">
        <f t="shared" si="4"/>
        <v>0</v>
      </c>
      <c r="F42" s="124">
        <f t="shared" si="3"/>
        <v>0</v>
      </c>
      <c r="G42" s="146">
        <f t="shared" si="5"/>
        <v>0</v>
      </c>
      <c r="I42" s="290"/>
    </row>
    <row r="43" spans="1:11" ht="20" customHeight="1">
      <c r="A43" s="155" t="str">
        <f>'BASE PAX'!A18</f>
        <v>DINNER 4</v>
      </c>
      <c r="B43" s="74">
        <f>($B$5+$B$6)*'BASE PAX'!B18</f>
        <v>0</v>
      </c>
      <c r="C43" s="123">
        <f>'BASE PAX'!C18</f>
        <v>65000</v>
      </c>
      <c r="D43" s="125">
        <f>'BASE PAX'!D18</f>
        <v>78000</v>
      </c>
      <c r="E43" s="151">
        <f t="shared" si="4"/>
        <v>0</v>
      </c>
      <c r="F43" s="124">
        <f t="shared" si="3"/>
        <v>0</v>
      </c>
      <c r="G43" s="146">
        <f t="shared" si="5"/>
        <v>0</v>
      </c>
      <c r="I43" s="9"/>
    </row>
    <row r="44" spans="1:11" ht="20" customHeight="1">
      <c r="A44" s="155" t="str">
        <f>'BASE PAX'!A19</f>
        <v>DINNER 5</v>
      </c>
      <c r="B44" s="74">
        <f>($B$5+($B$6*0.6))*'BASE PAX'!B19</f>
        <v>0</v>
      </c>
      <c r="C44" s="123">
        <f>'BASE PAX'!C19</f>
        <v>75000</v>
      </c>
      <c r="D44" s="125">
        <f>'BASE PAX'!D19</f>
        <v>90000</v>
      </c>
      <c r="E44" s="151">
        <f t="shared" si="4"/>
        <v>0</v>
      </c>
      <c r="F44" s="124">
        <f t="shared" si="3"/>
        <v>0</v>
      </c>
      <c r="G44" s="146">
        <f t="shared" si="5"/>
        <v>0</v>
      </c>
      <c r="I44" s="9"/>
    </row>
    <row r="45" spans="1:11" ht="20" customHeight="1">
      <c r="A45" s="155" t="str">
        <f>'BASE PAX'!A20</f>
        <v>DINNER 6</v>
      </c>
      <c r="B45" s="74">
        <f>($B$5+$B$6)*'BASE PAX'!B20</f>
        <v>0</v>
      </c>
      <c r="C45" s="123">
        <f>'BASE PAX'!C20</f>
        <v>0</v>
      </c>
      <c r="D45" s="125">
        <f>'BASE PAX'!D20</f>
        <v>0</v>
      </c>
      <c r="E45" s="151">
        <f t="shared" si="4"/>
        <v>0</v>
      </c>
      <c r="F45" s="124">
        <f t="shared" si="3"/>
        <v>0</v>
      </c>
      <c r="G45" s="146">
        <f t="shared" si="5"/>
        <v>0</v>
      </c>
      <c r="I45" s="9"/>
    </row>
    <row r="46" spans="1:11" ht="20" customHeight="1" thickBot="1">
      <c r="A46" s="155" t="str">
        <f>'BASE PAX'!A21</f>
        <v>DINNER 7</v>
      </c>
      <c r="B46" s="74">
        <f>($B$5+($B$6*0.6))*'BASE PAX'!B21</f>
        <v>0</v>
      </c>
      <c r="C46" s="123">
        <f>'BASE PAX'!C21</f>
        <v>75000</v>
      </c>
      <c r="D46" s="125">
        <f>'BASE PAX'!D21</f>
        <v>90000</v>
      </c>
      <c r="E46" s="151">
        <f t="shared" si="4"/>
        <v>0</v>
      </c>
      <c r="F46" s="124">
        <f t="shared" si="3"/>
        <v>0</v>
      </c>
      <c r="G46" s="146">
        <f t="shared" si="5"/>
        <v>0</v>
      </c>
      <c r="I46" s="10"/>
    </row>
    <row r="47" spans="1:11" ht="20" customHeight="1">
      <c r="A47" s="155" t="str">
        <f>'BASE PAX'!A22</f>
        <v>QUANT. TOTAL | PADRAO ALMOÇO</v>
      </c>
      <c r="B47" s="74">
        <f>'BASE PAX'!B22</f>
        <v>0</v>
      </c>
      <c r="C47" s="123"/>
      <c r="D47" s="125"/>
      <c r="E47" s="151"/>
      <c r="F47" s="124"/>
      <c r="G47" s="325">
        <f>0.2*I47</f>
        <v>0</v>
      </c>
      <c r="H47" s="338" t="str">
        <f>A47</f>
        <v>QUANT. TOTAL | PADRAO ALMOÇO</v>
      </c>
      <c r="I47" s="349">
        <f>(B5*B47*'BASE PAX'!G22)+(B6*B47*'BASE PAX'!H22)</f>
        <v>0</v>
      </c>
      <c r="J47" s="328"/>
      <c r="K47" s="329"/>
    </row>
    <row r="48" spans="1:11" ht="20" customHeight="1" thickBot="1">
      <c r="A48" s="163" t="str">
        <f>'BASE PAX'!A23</f>
        <v>QUANT. TOTAL | PADRAO JANTAR</v>
      </c>
      <c r="B48" s="164">
        <f>'BASE PAX'!B23</f>
        <v>0</v>
      </c>
      <c r="C48" s="165"/>
      <c r="D48" s="166"/>
      <c r="E48" s="167"/>
      <c r="F48" s="168"/>
      <c r="G48" s="326">
        <f>0.2*I48</f>
        <v>0</v>
      </c>
      <c r="H48" s="347" t="str">
        <f>A48</f>
        <v>QUANT. TOTAL | PADRAO JANTAR</v>
      </c>
      <c r="I48" s="335">
        <f>(B5*B48*'BASE PAX'!G23)+(B6*B48*'BASE PAX'!H23)</f>
        <v>0</v>
      </c>
      <c r="J48" s="330"/>
      <c r="K48" s="331"/>
    </row>
    <row r="49" spans="1:16" ht="29" customHeight="1" thickBot="1">
      <c r="A49" s="161" t="s">
        <v>72</v>
      </c>
      <c r="B49" s="157"/>
      <c r="C49" s="158"/>
      <c r="D49" s="303"/>
      <c r="E49" s="104">
        <f>SUM(E31:E48)</f>
        <v>0</v>
      </c>
      <c r="F49" s="104">
        <f>SUM(F31:F48)</f>
        <v>0</v>
      </c>
      <c r="G49" s="327">
        <f>SUM(G31:G48)</f>
        <v>0</v>
      </c>
      <c r="H49" s="341" t="s">
        <v>55</v>
      </c>
      <c r="I49" s="342">
        <f>I31+I47+I48</f>
        <v>0</v>
      </c>
      <c r="J49" s="358">
        <f>I49+E49</f>
        <v>0</v>
      </c>
      <c r="K49" s="332" t="s">
        <v>160</v>
      </c>
    </row>
    <row r="50" spans="1:16" s="8" customFormat="1" ht="11" customHeight="1" thickBot="1">
      <c r="A50" s="16"/>
      <c r="B50" s="56"/>
      <c r="C50" s="105"/>
      <c r="D50" s="102"/>
      <c r="E50" s="102"/>
      <c r="F50" s="7"/>
      <c r="G50" s="17"/>
      <c r="H50" s="7"/>
      <c r="I50" s="7"/>
      <c r="J50" s="7"/>
      <c r="K50" s="7"/>
      <c r="L50" s="7"/>
      <c r="M50" s="7"/>
      <c r="N50" s="7"/>
      <c r="O50" s="7"/>
      <c r="P50" s="7"/>
    </row>
    <row r="51" spans="1:16" ht="34" customHeight="1" thickBot="1">
      <c r="A51" s="21" t="s">
        <v>161</v>
      </c>
      <c r="B51" s="207" t="s">
        <v>52</v>
      </c>
      <c r="C51" s="208" t="s">
        <v>53</v>
      </c>
      <c r="D51" s="209" t="s">
        <v>54</v>
      </c>
      <c r="E51" s="172" t="s">
        <v>55</v>
      </c>
      <c r="F51" s="142" t="s">
        <v>158</v>
      </c>
      <c r="G51" s="182" t="s">
        <v>159</v>
      </c>
    </row>
    <row r="52" spans="1:16" ht="20" customHeight="1">
      <c r="A52" s="76" t="str">
        <f>'BASE PAX'!A27</f>
        <v>SUCOS</v>
      </c>
      <c r="B52" s="205">
        <f>'BASE PAX'!B27</f>
        <v>0</v>
      </c>
      <c r="C52" s="193">
        <f>'BASE PAX'!C27</f>
        <v>0</v>
      </c>
      <c r="D52" s="206">
        <f t="shared" ref="D52:D58" si="6">(C52*0.2)+C52</f>
        <v>0</v>
      </c>
      <c r="E52" s="174">
        <f t="shared" ref="E52:E58" si="7">D52*B52</f>
        <v>0</v>
      </c>
      <c r="F52" s="173">
        <f t="shared" ref="F52:F58" si="8">B52*C52</f>
        <v>0</v>
      </c>
      <c r="G52" s="183">
        <f t="shared" ref="G52:G59" si="9">E52-F52</f>
        <v>0</v>
      </c>
    </row>
    <row r="53" spans="1:16" ht="20" customHeight="1">
      <c r="A53" s="76" t="str">
        <f>'BASE PAX'!A28</f>
        <v>SUCOS</v>
      </c>
      <c r="B53" s="205">
        <f>'BASE PAX'!B28</f>
        <v>0</v>
      </c>
      <c r="C53" s="175">
        <f>'BASE PAX'!C28</f>
        <v>0</v>
      </c>
      <c r="D53" s="176">
        <f t="shared" si="6"/>
        <v>0</v>
      </c>
      <c r="E53" s="174">
        <f t="shared" si="7"/>
        <v>0</v>
      </c>
      <c r="F53" s="173">
        <f t="shared" si="8"/>
        <v>0</v>
      </c>
      <c r="G53" s="183">
        <f t="shared" si="9"/>
        <v>0</v>
      </c>
    </row>
    <row r="54" spans="1:16" ht="20" customHeight="1">
      <c r="A54" s="87" t="str">
        <f>'BASE PAX'!A29</f>
        <v>CERVEJAS</v>
      </c>
      <c r="B54" s="205">
        <f>'BASE PAX'!B29</f>
        <v>0</v>
      </c>
      <c r="C54" s="175">
        <f>'BASE PAX'!C29</f>
        <v>2000</v>
      </c>
      <c r="D54" s="176">
        <f t="shared" si="6"/>
        <v>2400</v>
      </c>
      <c r="E54" s="174">
        <f t="shared" si="7"/>
        <v>0</v>
      </c>
      <c r="F54" s="173">
        <f t="shared" si="8"/>
        <v>0</v>
      </c>
      <c r="G54" s="183">
        <f t="shared" si="9"/>
        <v>0</v>
      </c>
    </row>
    <row r="55" spans="1:16" ht="20" customHeight="1">
      <c r="A55" s="87" t="str">
        <f>'BASE PAX'!A30</f>
        <v>VINHOS</v>
      </c>
      <c r="B55" s="205">
        <f>'BASE PAX'!B30</f>
        <v>0</v>
      </c>
      <c r="C55" s="175">
        <f>'BASE PAX'!C30</f>
        <v>8000</v>
      </c>
      <c r="D55" s="176">
        <f t="shared" si="6"/>
        <v>9600</v>
      </c>
      <c r="E55" s="174">
        <f t="shared" si="7"/>
        <v>0</v>
      </c>
      <c r="F55" s="173">
        <f t="shared" si="8"/>
        <v>0</v>
      </c>
      <c r="G55" s="183">
        <f t="shared" si="9"/>
        <v>0</v>
      </c>
    </row>
    <row r="56" spans="1:16" ht="20" customHeight="1">
      <c r="A56" s="87" t="str">
        <f>'BASE PAX'!A31</f>
        <v>DRINKS</v>
      </c>
      <c r="B56" s="205">
        <f>'BASE PAX'!B31</f>
        <v>0</v>
      </c>
      <c r="C56" s="175">
        <f>'BASE PAX'!C31</f>
        <v>15000</v>
      </c>
      <c r="D56" s="176">
        <f t="shared" si="6"/>
        <v>18000</v>
      </c>
      <c r="E56" s="174">
        <f t="shared" si="7"/>
        <v>0</v>
      </c>
      <c r="F56" s="173">
        <f t="shared" si="8"/>
        <v>0</v>
      </c>
      <c r="G56" s="183">
        <f t="shared" si="9"/>
        <v>0</v>
      </c>
    </row>
    <row r="57" spans="1:16" ht="20" customHeight="1">
      <c r="A57" s="87" t="str">
        <f>'BASE PAX'!A32</f>
        <v>COOLER</v>
      </c>
      <c r="B57" s="205">
        <f>'BASE PAX'!B32</f>
        <v>0</v>
      </c>
      <c r="C57" s="175">
        <f>'BASE PAX'!C32</f>
        <v>5000</v>
      </c>
      <c r="D57" s="176">
        <f t="shared" si="6"/>
        <v>6000</v>
      </c>
      <c r="E57" s="174">
        <f t="shared" si="7"/>
        <v>0</v>
      </c>
      <c r="F57" s="173">
        <f t="shared" si="8"/>
        <v>0</v>
      </c>
      <c r="G57" s="183">
        <f t="shared" si="9"/>
        <v>0</v>
      </c>
    </row>
    <row r="58" spans="1:16" ht="20" customHeight="1" thickBot="1">
      <c r="A58" s="180">
        <f>'BASE PAX'!A33</f>
        <v>0</v>
      </c>
      <c r="B58" s="205">
        <f>'BASE PAX'!B33</f>
        <v>0</v>
      </c>
      <c r="C58" s="178">
        <f>'BASE PAX'!C33</f>
        <v>0</v>
      </c>
      <c r="D58" s="179">
        <f t="shared" si="6"/>
        <v>0</v>
      </c>
      <c r="E58" s="184">
        <f t="shared" si="7"/>
        <v>0</v>
      </c>
      <c r="F58" s="185">
        <f t="shared" si="8"/>
        <v>0</v>
      </c>
      <c r="G58" s="186">
        <f t="shared" si="9"/>
        <v>0</v>
      </c>
    </row>
    <row r="59" spans="1:16" ht="48" customHeight="1" thickBot="1">
      <c r="A59" s="21" t="s">
        <v>79</v>
      </c>
      <c r="B59" s="77"/>
      <c r="C59" s="126"/>
      <c r="D59" s="181"/>
      <c r="E59" s="127">
        <f>SUM(E52:E58)</f>
        <v>0</v>
      </c>
      <c r="F59" s="188">
        <f>SUM(F52:F58)</f>
        <v>0</v>
      </c>
      <c r="G59" s="189">
        <f t="shared" si="9"/>
        <v>0</v>
      </c>
    </row>
    <row r="60" spans="1:16" s="8" customFormat="1" ht="11" customHeight="1" thickBot="1">
      <c r="A60" s="16"/>
      <c r="B60" s="56"/>
      <c r="C60" s="105"/>
      <c r="D60" s="102"/>
      <c r="E60" s="102"/>
      <c r="F60" s="7"/>
      <c r="G60" s="17"/>
      <c r="H60" s="7"/>
      <c r="I60" s="7"/>
      <c r="J60" s="7"/>
      <c r="K60" s="7"/>
      <c r="L60" s="7"/>
      <c r="M60" s="7"/>
      <c r="N60" s="7"/>
      <c r="O60" s="7"/>
      <c r="P60" s="7"/>
    </row>
    <row r="61" spans="1:16" s="10" customFormat="1" ht="42" customHeight="1" thickBot="1">
      <c r="A61" s="226" t="s">
        <v>18</v>
      </c>
      <c r="B61" s="227" t="s">
        <v>52</v>
      </c>
      <c r="C61" s="228" t="s">
        <v>53</v>
      </c>
      <c r="D61" s="229" t="s">
        <v>54</v>
      </c>
      <c r="E61" s="229" t="s">
        <v>55</v>
      </c>
      <c r="F61" s="228" t="s">
        <v>158</v>
      </c>
      <c r="G61" s="230" t="s">
        <v>159</v>
      </c>
    </row>
    <row r="62" spans="1:16" ht="20" customHeight="1">
      <c r="A62" s="223" t="str">
        <f>'BASE PAX'!A37</f>
        <v>HOTTUBE</v>
      </c>
      <c r="B62" s="224">
        <f>'BASE PAX'!B37</f>
        <v>0</v>
      </c>
      <c r="C62" s="195">
        <f>'BASE PAX'!C37</f>
        <v>12000</v>
      </c>
      <c r="D62" s="225">
        <f t="shared" ref="D62:D71" si="10">C62*0.2+C62</f>
        <v>14400</v>
      </c>
      <c r="E62" s="225">
        <f t="shared" ref="E62:E71" si="11">D62*B62</f>
        <v>0</v>
      </c>
      <c r="F62" s="195">
        <f t="shared" ref="F62:F72" si="12">B62*C62</f>
        <v>0</v>
      </c>
      <c r="G62" s="194">
        <f t="shared" ref="G62:G72" si="13">E62-F62</f>
        <v>0</v>
      </c>
    </row>
    <row r="63" spans="1:16" ht="20" customHeight="1">
      <c r="A63" s="219" t="str">
        <f>'BASE PAX'!A38</f>
        <v>TREKKING 1/2 DAY</v>
      </c>
      <c r="B63" s="224">
        <f>'BASE PAX'!B38</f>
        <v>0</v>
      </c>
      <c r="C63" s="196">
        <f>'BASE PAX'!C38</f>
        <v>60000</v>
      </c>
      <c r="D63" s="220">
        <f t="shared" si="10"/>
        <v>72000</v>
      </c>
      <c r="E63" s="220">
        <f t="shared" si="11"/>
        <v>0</v>
      </c>
      <c r="F63" s="196">
        <f t="shared" si="12"/>
        <v>0</v>
      </c>
      <c r="G63" s="190">
        <f t="shared" si="13"/>
        <v>0</v>
      </c>
    </row>
    <row r="64" spans="1:16" ht="20" customHeight="1">
      <c r="A64" s="219" t="str">
        <f>'BASE PAX'!A39</f>
        <v>TREKKING FUK DAY</v>
      </c>
      <c r="B64" s="224">
        <f>'BASE PAX'!B39</f>
        <v>0</v>
      </c>
      <c r="C64" s="196">
        <f>'BASE PAX'!C39</f>
        <v>90000</v>
      </c>
      <c r="D64" s="220">
        <f t="shared" si="10"/>
        <v>108000</v>
      </c>
      <c r="E64" s="220">
        <f t="shared" si="11"/>
        <v>0</v>
      </c>
      <c r="F64" s="196">
        <f t="shared" si="12"/>
        <v>0</v>
      </c>
      <c r="G64" s="190">
        <f t="shared" si="13"/>
        <v>0</v>
      </c>
    </row>
    <row r="65" spans="1:16" ht="20" customHeight="1">
      <c r="A65" s="219" t="str">
        <f>'BASE PAX'!A40</f>
        <v>FLOTADA FAMILIAR</v>
      </c>
      <c r="B65" s="224">
        <f>'BASE PAX'!B40</f>
        <v>0</v>
      </c>
      <c r="C65" s="196">
        <f>'BASE PAX'!C40</f>
        <v>60000</v>
      </c>
      <c r="D65" s="220">
        <f t="shared" si="10"/>
        <v>72000</v>
      </c>
      <c r="E65" s="220">
        <f t="shared" si="11"/>
        <v>0</v>
      </c>
      <c r="F65" s="196">
        <f t="shared" si="12"/>
        <v>0</v>
      </c>
      <c r="G65" s="190">
        <f t="shared" si="13"/>
        <v>0</v>
      </c>
    </row>
    <row r="66" spans="1:16" ht="20" customHeight="1">
      <c r="A66" s="219" t="str">
        <f>'BASE PAX'!A41</f>
        <v>RAFTING 1/2 DAY</v>
      </c>
      <c r="B66" s="224">
        <f>'BASE PAX'!B41</f>
        <v>0</v>
      </c>
      <c r="C66" s="196">
        <f>'BASE PAX'!C41</f>
        <v>75000</v>
      </c>
      <c r="D66" s="220">
        <f t="shared" si="10"/>
        <v>90000</v>
      </c>
      <c r="E66" s="220">
        <f t="shared" si="11"/>
        <v>0</v>
      </c>
      <c r="F66" s="196">
        <f t="shared" si="12"/>
        <v>0</v>
      </c>
      <c r="G66" s="190">
        <f t="shared" si="13"/>
        <v>0</v>
      </c>
    </row>
    <row r="67" spans="1:16" ht="20" customHeight="1">
      <c r="A67" s="219" t="str">
        <f>'BASE PAX'!A42</f>
        <v>RAFTING FULL DAY</v>
      </c>
      <c r="B67" s="224">
        <f>'BASE PAX'!B42</f>
        <v>0</v>
      </c>
      <c r="C67" s="196">
        <f>'BASE PAX'!C42</f>
        <v>110000</v>
      </c>
      <c r="D67" s="220">
        <f t="shared" si="10"/>
        <v>132000</v>
      </c>
      <c r="E67" s="220">
        <f t="shared" si="11"/>
        <v>0</v>
      </c>
      <c r="F67" s="196">
        <f t="shared" si="12"/>
        <v>0</v>
      </c>
      <c r="G67" s="190">
        <f t="shared" si="13"/>
        <v>0</v>
      </c>
    </row>
    <row r="68" spans="1:16" ht="20" customHeight="1">
      <c r="A68" s="219" t="str">
        <f>'BASE PAX'!A43</f>
        <v>CABALGADA 1/2 DAy</v>
      </c>
      <c r="B68" s="224">
        <f>'BASE PAX'!B43</f>
        <v>0</v>
      </c>
      <c r="C68" s="196">
        <f>'BASE PAX'!C43</f>
        <v>90000</v>
      </c>
      <c r="D68" s="220">
        <f t="shared" si="10"/>
        <v>108000</v>
      </c>
      <c r="E68" s="220">
        <f t="shared" si="11"/>
        <v>0</v>
      </c>
      <c r="F68" s="196">
        <f t="shared" si="12"/>
        <v>0</v>
      </c>
      <c r="G68" s="190">
        <f t="shared" si="13"/>
        <v>0</v>
      </c>
    </row>
    <row r="69" spans="1:16" ht="20" customHeight="1">
      <c r="A69" s="219" t="str">
        <f>'BASE PAX'!A44</f>
        <v>CABALGADA FULL DAY</v>
      </c>
      <c r="B69" s="224">
        <f>'BASE PAX'!B44</f>
        <v>0</v>
      </c>
      <c r="C69" s="196">
        <f>'BASE PAX'!C44</f>
        <v>140000</v>
      </c>
      <c r="D69" s="220">
        <f t="shared" si="10"/>
        <v>168000</v>
      </c>
      <c r="E69" s="220">
        <f t="shared" si="11"/>
        <v>0</v>
      </c>
      <c r="F69" s="196">
        <f t="shared" si="12"/>
        <v>0</v>
      </c>
      <c r="G69" s="190">
        <f t="shared" si="13"/>
        <v>0</v>
      </c>
    </row>
    <row r="70" spans="1:16" ht="20" customHeight="1">
      <c r="A70" s="219" t="str">
        <f>'BASE PAX'!A45</f>
        <v>LANCHA YELCHO</v>
      </c>
      <c r="B70" s="224">
        <f>'BASE PAX'!B45</f>
        <v>0</v>
      </c>
      <c r="C70" s="196">
        <f>'BASE PAX'!C45</f>
        <v>120000</v>
      </c>
      <c r="D70" s="220">
        <f t="shared" si="10"/>
        <v>144000</v>
      </c>
      <c r="E70" s="220">
        <f t="shared" si="11"/>
        <v>0</v>
      </c>
      <c r="F70" s="196">
        <f t="shared" si="12"/>
        <v>0</v>
      </c>
      <c r="G70" s="190">
        <f t="shared" si="13"/>
        <v>0</v>
      </c>
    </row>
    <row r="71" spans="1:16" ht="20" customHeight="1" thickBot="1">
      <c r="A71" s="221" t="str">
        <f>'BASE PAX'!A46</f>
        <v>RECREACAO INFANTIL 3HS</v>
      </c>
      <c r="B71" s="224">
        <f>'BASE PAX'!B46</f>
        <v>0</v>
      </c>
      <c r="C71" s="197">
        <f>'BASE PAX'!C46</f>
        <v>30000</v>
      </c>
      <c r="D71" s="220">
        <f t="shared" si="10"/>
        <v>36000</v>
      </c>
      <c r="E71" s="222">
        <f t="shared" si="11"/>
        <v>0</v>
      </c>
      <c r="F71" s="197">
        <f t="shared" si="12"/>
        <v>0</v>
      </c>
      <c r="G71" s="192">
        <f t="shared" si="13"/>
        <v>0</v>
      </c>
    </row>
    <row r="72" spans="1:16" ht="48" customHeight="1" thickBot="1">
      <c r="A72" s="22" t="s">
        <v>84</v>
      </c>
      <c r="B72" s="79"/>
      <c r="C72" s="128"/>
      <c r="D72" s="128"/>
      <c r="E72" s="198">
        <f>SUM(E62:E71)</f>
        <v>0</v>
      </c>
      <c r="F72" s="204">
        <f t="shared" si="12"/>
        <v>0</v>
      </c>
      <c r="G72" s="203">
        <f t="shared" si="13"/>
        <v>0</v>
      </c>
    </row>
    <row r="73" spans="1:16" ht="37" customHeight="1" thickBot="1"/>
    <row r="74" spans="1:16" s="8" customFormat="1" ht="36" customHeight="1" thickBot="1">
      <c r="A74" s="23" t="s">
        <v>116</v>
      </c>
      <c r="B74" s="214" t="s">
        <v>52</v>
      </c>
      <c r="C74" s="215" t="s">
        <v>53</v>
      </c>
      <c r="D74" s="153" t="s">
        <v>54</v>
      </c>
      <c r="E74" s="153" t="s">
        <v>55</v>
      </c>
      <c r="F74" s="143" t="s">
        <v>162</v>
      </c>
      <c r="G74" s="147" t="s">
        <v>159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 ht="20" customHeight="1">
      <c r="A75" s="88" t="str">
        <f>'BASE PAX'!A50</f>
        <v>TRANSFER AEROPORTO CHEGADA</v>
      </c>
      <c r="B75" s="211">
        <f>'BASE PAX'!B50</f>
        <v>0</v>
      </c>
      <c r="C75" s="213">
        <v>50000</v>
      </c>
      <c r="D75" s="231">
        <f>C75*0.2+C75</f>
        <v>60000</v>
      </c>
      <c r="E75" s="231">
        <f>D75*B75</f>
        <v>0</v>
      </c>
      <c r="F75" s="210">
        <f>B75*C75</f>
        <v>0</v>
      </c>
      <c r="G75" s="199">
        <f t="shared" ref="G75:G80" si="14">E75-F75</f>
        <v>0</v>
      </c>
    </row>
    <row r="76" spans="1:16" ht="20" customHeight="1">
      <c r="A76" s="88" t="str">
        <f>'BASE PAX'!A51</f>
        <v>TRANSFER AEROPORTO PARTIDA</v>
      </c>
      <c r="B76" s="211">
        <f>'BASE PAX'!B51</f>
        <v>0</v>
      </c>
      <c r="C76" s="212">
        <f>'BASE PAX'!C51</f>
        <v>80000</v>
      </c>
      <c r="D76" s="232">
        <f>C76*0.2+C76</f>
        <v>96000</v>
      </c>
      <c r="E76" s="232">
        <f>D76*B76</f>
        <v>0</v>
      </c>
      <c r="F76" s="210">
        <f>B76*C76</f>
        <v>0</v>
      </c>
      <c r="G76" s="200">
        <f t="shared" si="14"/>
        <v>0</v>
      </c>
    </row>
    <row r="77" spans="1:16" ht="20" customHeight="1">
      <c r="A77" s="88" t="str">
        <f>'BASE PAX'!A52</f>
        <v>TRANSFERS INTERNO</v>
      </c>
      <c r="B77" s="211">
        <f>'BASE PAX'!B52</f>
        <v>0</v>
      </c>
      <c r="C77" s="212">
        <f>'BASE PAX'!C52</f>
        <v>18000</v>
      </c>
      <c r="D77" s="232">
        <f>C77*0.2+C77</f>
        <v>21600</v>
      </c>
      <c r="E77" s="232">
        <f>D77*B77</f>
        <v>0</v>
      </c>
      <c r="F77" s="210">
        <f>B77*C77</f>
        <v>0</v>
      </c>
      <c r="G77" s="200">
        <f t="shared" si="14"/>
        <v>0</v>
      </c>
    </row>
    <row r="78" spans="1:16" ht="20" customHeight="1">
      <c r="A78" s="88" t="str">
        <f>'BASE PAX'!A53</f>
        <v>EXTRAS 1</v>
      </c>
      <c r="B78" s="211">
        <f>'BASE PAX'!B53</f>
        <v>0</v>
      </c>
      <c r="C78" s="212">
        <f>'BASE PAX'!C53</f>
        <v>150000</v>
      </c>
      <c r="D78" s="232">
        <f>C78*0.2+C78</f>
        <v>180000</v>
      </c>
      <c r="E78" s="232">
        <f>D78*B78</f>
        <v>0</v>
      </c>
      <c r="F78" s="210">
        <f>B78*C78</f>
        <v>0</v>
      </c>
      <c r="G78" s="200">
        <f t="shared" si="14"/>
        <v>0</v>
      </c>
    </row>
    <row r="79" spans="1:16" ht="20" customHeight="1" thickBot="1">
      <c r="A79" s="218" t="str">
        <f>'BASE PAX'!A54</f>
        <v>EXTRAS 2</v>
      </c>
      <c r="B79" s="211">
        <f>'BASE PAX'!B54</f>
        <v>0</v>
      </c>
      <c r="C79" s="216">
        <f>'BASE PAX'!C54</f>
        <v>0</v>
      </c>
      <c r="D79" s="233">
        <f>C79*0.2+C79</f>
        <v>0</v>
      </c>
      <c r="E79" s="233">
        <f>D79*B79</f>
        <v>0</v>
      </c>
      <c r="F79" s="217">
        <f>B79*C79</f>
        <v>0</v>
      </c>
      <c r="G79" s="201">
        <f t="shared" si="14"/>
        <v>0</v>
      </c>
    </row>
    <row r="80" spans="1:16" ht="44" customHeight="1" thickBot="1">
      <c r="A80" s="23" t="s">
        <v>89</v>
      </c>
      <c r="B80" s="80"/>
      <c r="C80" s="130"/>
      <c r="D80" s="130"/>
      <c r="E80" s="131">
        <f>SUM(E75:E79)</f>
        <v>0</v>
      </c>
      <c r="F80" s="131">
        <f>SUM(F75:F79)</f>
        <v>0</v>
      </c>
      <c r="G80" s="203">
        <f t="shared" si="14"/>
        <v>0</v>
      </c>
    </row>
    <row r="81" spans="1:16" s="8" customFormat="1" ht="11" customHeight="1" thickBot="1">
      <c r="A81" s="16"/>
      <c r="B81" s="56"/>
      <c r="C81" s="105"/>
      <c r="D81" s="102"/>
      <c r="E81" s="102"/>
      <c r="F81" s="7"/>
      <c r="G81" s="17"/>
      <c r="H81" s="7"/>
      <c r="I81" s="7"/>
      <c r="J81" s="7"/>
      <c r="K81" s="7"/>
      <c r="L81" s="7"/>
      <c r="M81" s="7"/>
      <c r="N81" s="7"/>
      <c r="O81" s="7"/>
      <c r="P81" s="7"/>
    </row>
    <row r="82" spans="1:16" s="9" customFormat="1" ht="42" customHeight="1" thickBot="1">
      <c r="A82" s="246" t="s">
        <v>117</v>
      </c>
      <c r="B82" s="247" t="s">
        <v>52</v>
      </c>
      <c r="C82" s="248" t="s">
        <v>53</v>
      </c>
      <c r="D82" s="249" t="s">
        <v>54</v>
      </c>
      <c r="E82" s="249" t="s">
        <v>55</v>
      </c>
      <c r="F82" s="248" t="s">
        <v>162</v>
      </c>
      <c r="G82" s="147" t="s">
        <v>159</v>
      </c>
    </row>
    <row r="83" spans="1:16" ht="20" customHeight="1">
      <c r="A83" s="81" t="str">
        <f>'BASE PAX'!A58</f>
        <v>WS INSTRUCTOR</v>
      </c>
      <c r="B83" s="238">
        <f>'BASE PAX'!B58</f>
        <v>0</v>
      </c>
      <c r="C83" s="239">
        <f>'BASE PAX'!C58</f>
        <v>3415000</v>
      </c>
      <c r="D83" s="240">
        <f>(C83*0.15)+C83</f>
        <v>3927250</v>
      </c>
      <c r="E83" s="240">
        <f>D83*B83</f>
        <v>0</v>
      </c>
      <c r="F83" s="234">
        <f>B83*C83</f>
        <v>0</v>
      </c>
      <c r="G83" s="199">
        <f>E83-F83</f>
        <v>0</v>
      </c>
    </row>
    <row r="84" spans="1:16" ht="20" customHeight="1">
      <c r="A84" s="81" t="str">
        <f>'BASE PAX'!A59</f>
        <v>PRODUCER FEE</v>
      </c>
      <c r="B84" s="235">
        <f>'BASE PAX'!B59</f>
        <v>0</v>
      </c>
      <c r="C84" s="236">
        <f>'BASE PAX'!C59</f>
        <v>180000</v>
      </c>
      <c r="D84" s="237">
        <f>(C84*0.15)+C84</f>
        <v>207000</v>
      </c>
      <c r="E84" s="237">
        <f>D84*B84</f>
        <v>0</v>
      </c>
      <c r="F84" s="234">
        <f>B84*C84</f>
        <v>0</v>
      </c>
      <c r="G84" s="200">
        <f>E84-F84</f>
        <v>0</v>
      </c>
    </row>
    <row r="85" spans="1:16" ht="20" customHeight="1" thickBot="1">
      <c r="A85" s="241">
        <f>'BASE PAX'!A60</f>
        <v>0</v>
      </c>
      <c r="B85" s="242">
        <f>'BASE PAX'!B60</f>
        <v>0</v>
      </c>
      <c r="C85" s="243">
        <f>'BASE PAX'!C60</f>
        <v>20000</v>
      </c>
      <c r="D85" s="244">
        <f>(C85*0.15)+C85</f>
        <v>23000</v>
      </c>
      <c r="E85" s="244">
        <f>D85*B85</f>
        <v>0</v>
      </c>
      <c r="F85" s="245">
        <f>B85*C85</f>
        <v>0</v>
      </c>
      <c r="G85" s="201">
        <f>E85-F85</f>
        <v>0</v>
      </c>
    </row>
    <row r="86" spans="1:16" ht="41" customHeight="1" thickBot="1">
      <c r="A86" s="24" t="s">
        <v>163</v>
      </c>
      <c r="B86" s="82"/>
      <c r="C86" s="132"/>
      <c r="D86" s="132"/>
      <c r="E86" s="133">
        <f>SUM(E83:E85)</f>
        <v>0</v>
      </c>
      <c r="F86" s="133">
        <f>SUM(F81:F85)</f>
        <v>0</v>
      </c>
      <c r="G86" s="203">
        <f>E86-F86</f>
        <v>0</v>
      </c>
    </row>
    <row r="87" spans="1:16" s="8" customFormat="1" ht="11" customHeight="1" thickBot="1">
      <c r="A87" s="16"/>
      <c r="B87" s="56"/>
      <c r="C87" s="105"/>
      <c r="D87" s="102"/>
      <c r="E87" s="102"/>
      <c r="F87" s="7"/>
      <c r="G87" s="17"/>
      <c r="H87" s="7"/>
      <c r="I87" s="7"/>
      <c r="J87" s="7"/>
      <c r="K87" s="7"/>
      <c r="L87" s="7"/>
      <c r="M87" s="7"/>
      <c r="N87" s="7"/>
      <c r="O87" s="7"/>
      <c r="P87" s="7"/>
    </row>
    <row r="88" spans="1:16" ht="38" customHeight="1" thickBot="1">
      <c r="A88" s="258" t="s">
        <v>164</v>
      </c>
      <c r="B88" s="259" t="s">
        <v>92</v>
      </c>
      <c r="C88" s="250" t="s">
        <v>53</v>
      </c>
      <c r="D88" s="260" t="s">
        <v>54</v>
      </c>
      <c r="E88" s="260" t="s">
        <v>55</v>
      </c>
      <c r="F88" s="250"/>
      <c r="G88" s="147" t="s">
        <v>159</v>
      </c>
    </row>
    <row r="89" spans="1:16" ht="20" customHeight="1">
      <c r="A89" s="255" t="str">
        <f>'BASE PAX'!A64</f>
        <v>COORDENAÇÃO PRODUÇÃO</v>
      </c>
      <c r="B89" s="256">
        <f>'BASE PAX'!B64</f>
        <v>0</v>
      </c>
      <c r="C89" s="257">
        <f>'BASE PAX'!C64</f>
        <v>50000</v>
      </c>
      <c r="D89" s="257">
        <f>'BASE PAX'!D64</f>
        <v>0</v>
      </c>
      <c r="E89" s="121">
        <f>D89*B89</f>
        <v>0</v>
      </c>
      <c r="F89" s="257"/>
      <c r="G89" s="199">
        <f t="shared" ref="G89:G94" si="15">E89*0.2</f>
        <v>0</v>
      </c>
    </row>
    <row r="90" spans="1:16" ht="20" customHeight="1">
      <c r="A90" s="251" t="str">
        <f>'BASE PAX'!A65</f>
        <v>EXTRA MÃO DE OBRA</v>
      </c>
      <c r="B90" s="256">
        <f>'BASE PAX'!B65</f>
        <v>0</v>
      </c>
      <c r="C90" s="253">
        <f>'BASE PAX'!C65</f>
        <v>50000</v>
      </c>
      <c r="D90" s="253">
        <f>'BASE PAX'!D65</f>
        <v>0</v>
      </c>
      <c r="E90" s="121">
        <f t="shared" ref="E90:E94" si="16">D90*B90</f>
        <v>0</v>
      </c>
      <c r="F90" s="253"/>
      <c r="G90" s="199">
        <f t="shared" si="15"/>
        <v>0</v>
      </c>
    </row>
    <row r="91" spans="1:16" ht="20" customHeight="1">
      <c r="A91" s="251" t="str">
        <f>'BASE PAX'!A66</f>
        <v>TAXA LIMPEZA CHECK IN / CHECKOUT</v>
      </c>
      <c r="B91" s="252">
        <f>'BASE PAX'!B66</f>
        <v>0</v>
      </c>
      <c r="C91" s="253">
        <f>'BASE PAX'!C66</f>
        <v>40000</v>
      </c>
      <c r="D91" s="253">
        <f>'BASE PAX'!D66</f>
        <v>0</v>
      </c>
      <c r="E91" s="121">
        <f t="shared" si="16"/>
        <v>0</v>
      </c>
      <c r="F91" s="253"/>
      <c r="G91" s="199">
        <f t="shared" si="15"/>
        <v>0</v>
      </c>
    </row>
    <row r="92" spans="1:16" ht="20" customHeight="1">
      <c r="A92" s="251" t="str">
        <f>'BASE PAX'!A67</f>
        <v>TAXA LIMPEZA DIARIA</v>
      </c>
      <c r="B92" s="254">
        <f>'BASE PAX'!B67</f>
        <v>0</v>
      </c>
      <c r="C92" s="253">
        <f>'BASE PAX'!C67</f>
        <v>30000</v>
      </c>
      <c r="D92" s="253">
        <f>'BASE PAX'!D67</f>
        <v>0</v>
      </c>
      <c r="E92" s="121">
        <f t="shared" si="16"/>
        <v>0</v>
      </c>
      <c r="F92" s="253"/>
      <c r="G92" s="199">
        <f t="shared" si="15"/>
        <v>0</v>
      </c>
    </row>
    <row r="93" spans="1:16" ht="20" customHeight="1">
      <c r="A93" s="251" t="str">
        <f>'BASE PAX'!A68</f>
        <v>SOUVENIR</v>
      </c>
      <c r="B93" s="252">
        <f>'BASE PAX'!B68</f>
        <v>0</v>
      </c>
      <c r="C93" s="253">
        <f>'BASE PAX'!C68</f>
        <v>15000</v>
      </c>
      <c r="D93" s="253">
        <f>'BASE PAX'!D68</f>
        <v>0</v>
      </c>
      <c r="E93" s="121">
        <f t="shared" si="16"/>
        <v>0</v>
      </c>
      <c r="F93" s="253"/>
      <c r="G93" s="199">
        <f t="shared" si="15"/>
        <v>0</v>
      </c>
    </row>
    <row r="94" spans="1:16" ht="20" customHeight="1" thickBot="1">
      <c r="A94" s="251" t="str">
        <f>'BASE PAX'!A69</f>
        <v>ASSISTENTE COORDENAÇÃO</v>
      </c>
      <c r="B94" s="256">
        <f>'BASE PAX'!B69</f>
        <v>0</v>
      </c>
      <c r="C94" s="253">
        <f>'BASE PAX'!C69</f>
        <v>30000</v>
      </c>
      <c r="D94" s="253">
        <f>'BASE PAX'!D69</f>
        <v>0</v>
      </c>
      <c r="E94" s="121">
        <f t="shared" si="16"/>
        <v>0</v>
      </c>
      <c r="F94" s="253"/>
      <c r="G94" s="199">
        <f t="shared" si="15"/>
        <v>0</v>
      </c>
    </row>
    <row r="95" spans="1:16" ht="41" customHeight="1" thickBot="1">
      <c r="A95" s="25" t="s">
        <v>101</v>
      </c>
      <c r="B95" s="83"/>
      <c r="C95" s="134"/>
      <c r="D95" s="134"/>
      <c r="E95" s="135">
        <f>SUM(E89:E94)</f>
        <v>0</v>
      </c>
      <c r="F95" s="135"/>
      <c r="G95" s="203">
        <f>SUM(G89:G94)</f>
        <v>0</v>
      </c>
    </row>
    <row r="96" spans="1:16" s="8" customFormat="1" ht="11" customHeight="1" thickBot="1">
      <c r="A96" s="16"/>
      <c r="B96" s="56"/>
      <c r="C96" s="105"/>
      <c r="D96" s="102"/>
      <c r="E96" s="102"/>
      <c r="F96" s="7"/>
      <c r="G96" s="17"/>
      <c r="H96" s="7"/>
      <c r="I96" s="7"/>
      <c r="J96" s="7"/>
      <c r="K96" s="7"/>
      <c r="L96" s="7"/>
      <c r="M96" s="7"/>
      <c r="N96" s="7"/>
      <c r="O96" s="7"/>
      <c r="P96" s="7"/>
    </row>
    <row r="97" spans="1:16" ht="38" customHeight="1" thickBot="1">
      <c r="A97" s="26" t="s">
        <v>165</v>
      </c>
      <c r="B97" s="27" t="s">
        <v>92</v>
      </c>
      <c r="C97" s="136" t="s">
        <v>53</v>
      </c>
      <c r="D97" s="136" t="s">
        <v>54</v>
      </c>
      <c r="E97" s="137" t="s">
        <v>55</v>
      </c>
      <c r="F97" s="20"/>
      <c r="G97" s="20"/>
    </row>
    <row r="98" spans="1:16" ht="23" customHeight="1" thickBot="1">
      <c r="A98" s="84" t="str">
        <f>'BASE PAX'!A73</f>
        <v xml:space="preserve">QUINCHO DAY USE / CABIN </v>
      </c>
      <c r="B98" s="85">
        <f>'BASE PAX'!B73</f>
        <v>0</v>
      </c>
      <c r="C98" s="138">
        <f>'BASE PAX'!C73</f>
        <v>15000</v>
      </c>
      <c r="D98" s="138">
        <f>C98+(C98*0.2)</f>
        <v>18000</v>
      </c>
      <c r="E98" s="139">
        <f>D98*B98</f>
        <v>0</v>
      </c>
      <c r="F98" s="19"/>
      <c r="G98" s="17"/>
    </row>
    <row r="99" spans="1:16" ht="42" customHeight="1" thickBot="1">
      <c r="A99" s="26" t="s">
        <v>104</v>
      </c>
      <c r="B99" s="86"/>
      <c r="C99" s="140"/>
      <c r="D99" s="140"/>
      <c r="E99" s="141">
        <f>E98</f>
        <v>0</v>
      </c>
    </row>
    <row r="100" spans="1:16" s="6" customFormat="1" ht="20" customHeight="1">
      <c r="A100" s="28"/>
      <c r="B100" s="52"/>
      <c r="C100" s="11"/>
      <c r="D100" s="11"/>
      <c r="E100" s="11"/>
      <c r="F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9" customHeight="1"/>
  </sheetData>
  <sheetProtection sheet="1" objects="1" scenarios="1"/>
  <mergeCells count="17">
    <mergeCell ref="A11:A12"/>
    <mergeCell ref="A28:D28"/>
    <mergeCell ref="B5:C5"/>
    <mergeCell ref="F20:F21"/>
    <mergeCell ref="B11:B12"/>
    <mergeCell ref="D11:D12"/>
    <mergeCell ref="B9:C9"/>
    <mergeCell ref="D9:E9"/>
    <mergeCell ref="B8:C8"/>
    <mergeCell ref="D8:E8"/>
    <mergeCell ref="D6:E6"/>
    <mergeCell ref="B6:C6"/>
    <mergeCell ref="I11:K11"/>
    <mergeCell ref="D7:E7"/>
    <mergeCell ref="B7:C7"/>
    <mergeCell ref="F11:G13"/>
    <mergeCell ref="G20:G21"/>
  </mergeCells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1:P101"/>
  <sheetViews>
    <sheetView topLeftCell="A2" workbookViewId="0">
      <selection activeCell="C92" sqref="C92"/>
    </sheetView>
  </sheetViews>
  <sheetFormatPr baseColWidth="10" defaultColWidth="11" defaultRowHeight="17"/>
  <cols>
    <col min="1" max="1" width="48.796875" style="7" customWidth="1"/>
    <col min="2" max="2" width="23.796875" style="52" customWidth="1"/>
    <col min="3" max="3" width="24" style="7" customWidth="1"/>
    <col min="4" max="4" width="22.796875" style="12" customWidth="1"/>
    <col min="5" max="5" width="22.19921875" style="11" customWidth="1"/>
    <col min="6" max="6" width="31.19921875" style="7" customWidth="1"/>
    <col min="7" max="7" width="27.796875" style="6" customWidth="1"/>
    <col min="8" max="8" width="32.3984375" style="7" customWidth="1"/>
    <col min="9" max="9" width="23.59765625" style="7" customWidth="1"/>
    <col min="10" max="10" width="25.19921875" style="7" customWidth="1"/>
    <col min="11" max="11" width="28.796875" style="7" customWidth="1"/>
    <col min="12" max="12" width="36.19921875" style="7" customWidth="1"/>
    <col min="13" max="28" width="11" style="7" customWidth="1"/>
    <col min="29" max="16384" width="11" style="7"/>
  </cols>
  <sheetData>
    <row r="1" spans="1:16" ht="22" hidden="1" customHeight="1" thickBot="1"/>
    <row r="2" spans="1:16" ht="7" customHeight="1">
      <c r="D2" s="13"/>
    </row>
    <row r="3" spans="1:16" s="10" customFormat="1" ht="1" customHeight="1">
      <c r="A3" s="14"/>
      <c r="B3" s="53"/>
      <c r="C3" s="15" t="s">
        <v>11</v>
      </c>
      <c r="D3" s="15"/>
      <c r="E3" s="15"/>
      <c r="G3" s="9"/>
    </row>
    <row r="4" spans="1:16" s="10" customFormat="1" ht="19" customHeight="1">
      <c r="A4" s="14"/>
      <c r="B4" s="53"/>
      <c r="C4" s="15"/>
      <c r="D4" s="15"/>
      <c r="E4" s="15"/>
      <c r="G4" s="9"/>
    </row>
    <row r="5" spans="1:16" s="10" customFormat="1" ht="45" customHeight="1">
      <c r="A5" s="54" t="s">
        <v>129</v>
      </c>
      <c r="B5" s="674">
        <v>2</v>
      </c>
      <c r="C5" s="675"/>
      <c r="D5" s="277"/>
      <c r="E5" s="277" t="s">
        <v>12</v>
      </c>
      <c r="F5" s="278"/>
      <c r="G5" s="9"/>
    </row>
    <row r="6" spans="1:16" s="8" customFormat="1" ht="37" customHeight="1">
      <c r="A6" s="54" t="s">
        <v>130</v>
      </c>
      <c r="B6" s="683">
        <v>1</v>
      </c>
      <c r="C6" s="684"/>
      <c r="D6" s="682" t="s">
        <v>131</v>
      </c>
      <c r="E6" s="661"/>
      <c r="F6" s="106">
        <f>D21</f>
        <v>0</v>
      </c>
      <c r="G6" s="9"/>
      <c r="H6" s="10"/>
    </row>
    <row r="7" spans="1:16" s="8" customFormat="1" ht="33" customHeight="1">
      <c r="A7" s="55" t="s">
        <v>132</v>
      </c>
      <c r="B7" s="662">
        <f>CALENDAR!C2</f>
        <v>0</v>
      </c>
      <c r="C7" s="661"/>
      <c r="D7" s="660" t="s">
        <v>133</v>
      </c>
      <c r="E7" s="661"/>
      <c r="F7" s="107">
        <f>SUM(F12:F20)</f>
        <v>0</v>
      </c>
      <c r="G7" s="9"/>
      <c r="H7" s="10"/>
    </row>
    <row r="8" spans="1:16" s="8" customFormat="1" ht="31" customHeight="1">
      <c r="A8" s="54" t="s">
        <v>134</v>
      </c>
      <c r="B8" s="680">
        <f>CALENDAR!C3</f>
        <v>0</v>
      </c>
      <c r="C8" s="661"/>
      <c r="D8" s="681" t="s">
        <v>135</v>
      </c>
      <c r="E8" s="661"/>
      <c r="F8" s="108">
        <f>F6-F7</f>
        <v>0</v>
      </c>
      <c r="G8" s="9"/>
      <c r="H8" s="10"/>
    </row>
    <row r="9" spans="1:16" s="8" customFormat="1" ht="32" customHeight="1">
      <c r="A9" s="55" t="s">
        <v>136</v>
      </c>
      <c r="B9" s="678">
        <f>CALENDAR!J2</f>
        <v>0</v>
      </c>
      <c r="C9" s="661"/>
      <c r="D9" s="679" t="s">
        <v>137</v>
      </c>
      <c r="E9" s="661"/>
      <c r="F9" s="1"/>
      <c r="G9" s="9"/>
      <c r="H9" s="10"/>
    </row>
    <row r="10" spans="1:16" s="8" customFormat="1" ht="30" customHeight="1" thickBot="1">
      <c r="A10" s="16"/>
      <c r="B10" s="56"/>
      <c r="C10" s="6"/>
      <c r="D10" s="7"/>
      <c r="E10" s="7"/>
      <c r="F10" s="7"/>
      <c r="G10" s="17"/>
      <c r="H10" s="7"/>
      <c r="I10" s="7"/>
      <c r="J10" s="7"/>
      <c r="K10" s="7"/>
      <c r="L10" s="7"/>
      <c r="M10" s="7"/>
      <c r="N10" s="7"/>
      <c r="O10" s="7"/>
      <c r="P10" s="7"/>
    </row>
    <row r="11" spans="1:16" s="6" customFormat="1" ht="44" customHeight="1" thickBot="1">
      <c r="A11" s="671" t="s">
        <v>138</v>
      </c>
      <c r="B11" s="677" t="s">
        <v>139</v>
      </c>
      <c r="C11" s="57" t="s">
        <v>140</v>
      </c>
      <c r="D11" s="677" t="s">
        <v>141</v>
      </c>
      <c r="E11" s="7"/>
      <c r="F11" s="738" t="str">
        <f>E5</f>
        <v>NIRE</v>
      </c>
      <c r="G11" s="664"/>
      <c r="H11" s="7"/>
      <c r="I11" s="658" t="s">
        <v>142</v>
      </c>
      <c r="J11" s="659"/>
      <c r="K11" s="659"/>
      <c r="L11" s="7"/>
      <c r="M11" s="7"/>
      <c r="N11" s="7"/>
      <c r="O11" s="7"/>
      <c r="P11" s="7"/>
    </row>
    <row r="12" spans="1:16" s="6" customFormat="1" ht="32" customHeight="1">
      <c r="A12" s="659"/>
      <c r="B12" s="659"/>
      <c r="C12" s="58">
        <v>0.05</v>
      </c>
      <c r="D12" s="659"/>
      <c r="E12" s="7"/>
      <c r="F12" s="665"/>
      <c r="G12" s="666"/>
      <c r="H12" s="7"/>
      <c r="I12" s="59" t="s">
        <v>126</v>
      </c>
      <c r="J12" s="60" t="s">
        <v>143</v>
      </c>
      <c r="K12" s="60" t="s">
        <v>144</v>
      </c>
      <c r="L12" s="7"/>
      <c r="M12" s="7"/>
      <c r="N12" s="7"/>
      <c r="O12" s="7"/>
      <c r="P12" s="7"/>
    </row>
    <row r="13" spans="1:16" ht="22" customHeight="1" thickBot="1">
      <c r="A13" s="61" t="s">
        <v>15</v>
      </c>
      <c r="B13" s="109">
        <f>G28</f>
        <v>0</v>
      </c>
      <c r="C13" s="109">
        <f t="shared" ref="C13:C20" si="0">B13*$C$12</f>
        <v>0</v>
      </c>
      <c r="D13" s="109">
        <f t="shared" ref="D13:D20" si="1">B13+(B13*$C$12)</f>
        <v>0</v>
      </c>
      <c r="E13" s="7"/>
      <c r="F13" s="667"/>
      <c r="G13" s="668"/>
      <c r="I13" s="3"/>
      <c r="J13" s="4"/>
      <c r="K13" s="5"/>
    </row>
    <row r="14" spans="1:16" s="6" customFormat="1" ht="20" customHeight="1">
      <c r="A14" s="62" t="s">
        <v>16</v>
      </c>
      <c r="B14" s="110">
        <f>J49</f>
        <v>0</v>
      </c>
      <c r="C14" s="110">
        <f t="shared" si="0"/>
        <v>0</v>
      </c>
      <c r="D14" s="110">
        <f t="shared" si="1"/>
        <v>0</v>
      </c>
      <c r="E14" s="7"/>
      <c r="F14" s="271" t="str">
        <f t="shared" ref="F14:F19" si="2">A14</f>
        <v>2.FOOD</v>
      </c>
      <c r="G14" s="261">
        <f>G49</f>
        <v>0</v>
      </c>
      <c r="H14" s="7"/>
      <c r="I14" s="3"/>
      <c r="J14" s="4"/>
      <c r="K14" s="5"/>
      <c r="L14" s="7"/>
      <c r="M14" s="7"/>
      <c r="N14" s="7"/>
      <c r="O14" s="7"/>
      <c r="P14" s="7"/>
    </row>
    <row r="15" spans="1:16" s="6" customFormat="1" ht="20" customHeight="1">
      <c r="A15" s="63" t="s">
        <v>17</v>
      </c>
      <c r="B15" s="111">
        <f>E59</f>
        <v>0</v>
      </c>
      <c r="C15" s="111">
        <f t="shared" si="0"/>
        <v>0</v>
      </c>
      <c r="D15" s="111">
        <f t="shared" si="1"/>
        <v>0</v>
      </c>
      <c r="E15" s="7"/>
      <c r="F15" s="272" t="str">
        <f t="shared" si="2"/>
        <v>3.DRINKS</v>
      </c>
      <c r="G15" s="262">
        <f>G59</f>
        <v>0</v>
      </c>
      <c r="H15" s="7"/>
      <c r="I15" s="3"/>
      <c r="J15" s="4"/>
      <c r="K15" s="5"/>
      <c r="L15" s="7"/>
      <c r="M15" s="7"/>
      <c r="N15" s="7"/>
      <c r="O15" s="7"/>
      <c r="P15" s="7"/>
    </row>
    <row r="16" spans="1:16" s="6" customFormat="1" ht="20" customHeight="1">
      <c r="A16" s="55" t="s">
        <v>18</v>
      </c>
      <c r="B16" s="112">
        <f>$E$72</f>
        <v>0</v>
      </c>
      <c r="C16" s="112">
        <f t="shared" si="0"/>
        <v>0</v>
      </c>
      <c r="D16" s="112">
        <f t="shared" si="1"/>
        <v>0</v>
      </c>
      <c r="E16" s="7"/>
      <c r="F16" s="273" t="str">
        <f t="shared" si="2"/>
        <v>4. ACTIVITIES</v>
      </c>
      <c r="G16" s="263">
        <f>G72</f>
        <v>0</v>
      </c>
      <c r="H16" s="7"/>
      <c r="I16" s="3"/>
      <c r="J16" s="4"/>
      <c r="K16" s="5"/>
      <c r="L16" s="7"/>
      <c r="M16" s="7"/>
      <c r="N16" s="7"/>
      <c r="O16" s="7"/>
      <c r="P16" s="7"/>
    </row>
    <row r="17" spans="1:16" s="6" customFormat="1" ht="20" customHeight="1">
      <c r="A17" s="63" t="s">
        <v>19</v>
      </c>
      <c r="B17" s="111">
        <f>$E$80</f>
        <v>0</v>
      </c>
      <c r="C17" s="111">
        <f t="shared" si="0"/>
        <v>0</v>
      </c>
      <c r="D17" s="111">
        <f t="shared" si="1"/>
        <v>0</v>
      </c>
      <c r="E17" s="7"/>
      <c r="F17" s="274" t="str">
        <f t="shared" si="2"/>
        <v>5.TRANSPORT</v>
      </c>
      <c r="G17" s="174">
        <f>G80</f>
        <v>0</v>
      </c>
      <c r="H17" s="7"/>
      <c r="I17" s="3"/>
      <c r="J17" s="4"/>
      <c r="K17" s="5"/>
      <c r="L17" s="7"/>
      <c r="M17" s="7"/>
      <c r="N17" s="7"/>
      <c r="O17" s="7"/>
      <c r="P17" s="7"/>
    </row>
    <row r="18" spans="1:16" s="6" customFormat="1" ht="20" customHeight="1">
      <c r="A18" s="64" t="s">
        <v>20</v>
      </c>
      <c r="B18" s="113">
        <f>$E$86</f>
        <v>0</v>
      </c>
      <c r="C18" s="113">
        <f t="shared" si="0"/>
        <v>0</v>
      </c>
      <c r="D18" s="113">
        <f t="shared" si="1"/>
        <v>0</v>
      </c>
      <c r="E18" s="10"/>
      <c r="F18" s="275" t="str">
        <f t="shared" si="2"/>
        <v>6.EXPERIENCES</v>
      </c>
      <c r="G18" s="264">
        <f>G86</f>
        <v>0</v>
      </c>
      <c r="H18" s="7"/>
      <c r="I18" s="3"/>
      <c r="J18" s="4"/>
      <c r="K18" s="5"/>
      <c r="L18" s="7"/>
      <c r="M18" s="7"/>
      <c r="N18" s="7"/>
      <c r="O18" s="7"/>
      <c r="P18" s="7"/>
    </row>
    <row r="19" spans="1:16" s="6" customFormat="1" ht="20" customHeight="1">
      <c r="A19" s="65" t="s">
        <v>21</v>
      </c>
      <c r="B19" s="114">
        <f>$E$95</f>
        <v>0</v>
      </c>
      <c r="C19" s="114">
        <f t="shared" si="0"/>
        <v>0</v>
      </c>
      <c r="D19" s="114">
        <f t="shared" si="1"/>
        <v>0</v>
      </c>
      <c r="E19" s="7"/>
      <c r="F19" s="276" t="str">
        <f t="shared" si="2"/>
        <v>7.EXTRAS</v>
      </c>
      <c r="G19" s="151">
        <f>G95</f>
        <v>0</v>
      </c>
      <c r="H19" s="7"/>
      <c r="I19" s="3"/>
      <c r="J19" s="4"/>
      <c r="K19" s="5"/>
      <c r="L19" s="7"/>
      <c r="M19" s="7"/>
      <c r="N19" s="7"/>
      <c r="O19" s="7"/>
      <c r="P19" s="7"/>
    </row>
    <row r="20" spans="1:16" s="6" customFormat="1" ht="20" customHeight="1" thickBot="1">
      <c r="A20" s="66" t="s">
        <v>22</v>
      </c>
      <c r="B20" s="115">
        <f>$E$99</f>
        <v>0</v>
      </c>
      <c r="C20" s="115">
        <f t="shared" si="0"/>
        <v>0</v>
      </c>
      <c r="D20" s="115">
        <f t="shared" si="1"/>
        <v>0</v>
      </c>
      <c r="E20" s="7"/>
      <c r="F20" s="676" t="s">
        <v>145</v>
      </c>
      <c r="G20" s="669">
        <f>G14+G15+G16+G17+G18+G19</f>
        <v>0</v>
      </c>
      <c r="H20" s="7"/>
      <c r="I20" s="3"/>
      <c r="J20" s="4"/>
      <c r="K20" s="5"/>
      <c r="L20" s="7"/>
      <c r="M20" s="7"/>
      <c r="N20" s="7"/>
      <c r="O20" s="7"/>
      <c r="P20" s="7"/>
    </row>
    <row r="21" spans="1:16" ht="35" customHeight="1" thickBot="1">
      <c r="A21" s="67" t="s">
        <v>146</v>
      </c>
      <c r="B21" s="116">
        <f>SUM(B13:B20)</f>
        <v>0</v>
      </c>
      <c r="C21" s="116"/>
      <c r="D21" s="116">
        <f>SUM(D13:D20)</f>
        <v>0</v>
      </c>
      <c r="E21" s="51"/>
      <c r="F21" s="670"/>
      <c r="G21" s="670"/>
    </row>
    <row r="22" spans="1:16" s="8" customFormat="1" ht="11" customHeight="1" thickBot="1">
      <c r="A22" s="16"/>
      <c r="B22" s="56"/>
      <c r="C22" s="6"/>
      <c r="D22" s="7"/>
      <c r="E22" s="7"/>
      <c r="F22" s="7"/>
      <c r="G22" s="17"/>
      <c r="H22" s="7"/>
      <c r="I22" s="7"/>
      <c r="J22" s="7"/>
      <c r="K22" s="7"/>
      <c r="L22" s="7"/>
      <c r="M22" s="7"/>
      <c r="N22" s="7"/>
      <c r="O22" s="7"/>
      <c r="P22" s="7"/>
    </row>
    <row r="23" spans="1:16" ht="44" customHeight="1" thickBot="1">
      <c r="A23" s="68" t="s">
        <v>114</v>
      </c>
      <c r="B23" s="69" t="s">
        <v>52</v>
      </c>
      <c r="C23" s="69" t="s">
        <v>147</v>
      </c>
      <c r="D23" s="69" t="s">
        <v>148</v>
      </c>
      <c r="E23" s="70" t="s">
        <v>149</v>
      </c>
      <c r="F23" s="70" t="s">
        <v>150</v>
      </c>
      <c r="G23" s="70" t="s">
        <v>151</v>
      </c>
    </row>
    <row r="24" spans="1:16" ht="20" customHeight="1">
      <c r="A24" s="71" t="s">
        <v>166</v>
      </c>
      <c r="B24" s="93">
        <v>0</v>
      </c>
      <c r="C24" s="117">
        <f>249200</f>
        <v>249200</v>
      </c>
      <c r="D24" s="118"/>
      <c r="E24" s="119">
        <f>(C24+D24)*$B$9*B24</f>
        <v>0</v>
      </c>
      <c r="F24" s="2">
        <v>0</v>
      </c>
      <c r="G24" s="119">
        <f>E24-(E24*F24)</f>
        <v>0</v>
      </c>
    </row>
    <row r="25" spans="1:16" ht="20" customHeight="1">
      <c r="A25" s="71" t="s">
        <v>167</v>
      </c>
      <c r="B25" s="93">
        <v>1</v>
      </c>
      <c r="C25" s="117">
        <f>249200</f>
        <v>249200</v>
      </c>
      <c r="D25" s="118">
        <v>50000</v>
      </c>
      <c r="E25" s="119">
        <f>(C25+D25)*$B$9*B25</f>
        <v>0</v>
      </c>
      <c r="F25" s="2">
        <v>0</v>
      </c>
      <c r="G25" s="119">
        <f>E25-(E25*F25)</f>
        <v>0</v>
      </c>
    </row>
    <row r="26" spans="1:16" ht="20" customHeight="1">
      <c r="A26" s="71" t="s">
        <v>168</v>
      </c>
      <c r="B26" s="93">
        <v>0</v>
      </c>
      <c r="C26" s="117">
        <f>224280</f>
        <v>224280</v>
      </c>
      <c r="D26" s="118"/>
      <c r="E26" s="119">
        <f>(C26+D26)*$B$9*B26</f>
        <v>0</v>
      </c>
      <c r="F26" s="2">
        <v>0</v>
      </c>
      <c r="G26" s="119">
        <f>E26-(E26*F26)</f>
        <v>0</v>
      </c>
    </row>
    <row r="27" spans="1:16" ht="20" customHeight="1" thickBot="1">
      <c r="A27" s="71" t="s">
        <v>169</v>
      </c>
      <c r="B27" s="93">
        <v>0</v>
      </c>
      <c r="C27" s="117">
        <f>224280</f>
        <v>224280</v>
      </c>
      <c r="D27" s="118">
        <v>50000</v>
      </c>
      <c r="E27" s="119">
        <f>(C27+D27)*$B$9*B27</f>
        <v>0</v>
      </c>
      <c r="F27" s="2">
        <v>0</v>
      </c>
      <c r="G27" s="119">
        <f>E27-(E27*F27)</f>
        <v>0</v>
      </c>
    </row>
    <row r="28" spans="1:16" ht="29" customHeight="1" thickBot="1">
      <c r="A28" s="672" t="s">
        <v>156</v>
      </c>
      <c r="B28" s="673"/>
      <c r="C28" s="673"/>
      <c r="D28" s="673"/>
      <c r="E28" s="72"/>
      <c r="F28" s="73"/>
      <c r="G28" s="120">
        <f>SUM(G24:G27)</f>
        <v>0</v>
      </c>
    </row>
    <row r="29" spans="1:16" s="8" customFormat="1" ht="11" customHeight="1" thickBot="1">
      <c r="A29" s="16"/>
      <c r="B29" s="56"/>
      <c r="C29" s="6"/>
      <c r="D29" s="7"/>
      <c r="E29" s="7"/>
      <c r="F29" s="7"/>
      <c r="G29" s="17"/>
      <c r="H29" s="7"/>
      <c r="I29" s="286"/>
      <c r="J29" s="7"/>
      <c r="K29" s="7"/>
      <c r="L29" s="7"/>
      <c r="M29" s="7"/>
      <c r="N29" s="7"/>
      <c r="O29" s="7"/>
      <c r="P29" s="7"/>
    </row>
    <row r="30" spans="1:16" s="10" customFormat="1" ht="40" customHeight="1" thickBot="1">
      <c r="A30" s="18" t="s">
        <v>51</v>
      </c>
      <c r="B30" s="159" t="s">
        <v>52</v>
      </c>
      <c r="C30" s="160" t="s">
        <v>53</v>
      </c>
      <c r="D30" s="153" t="s">
        <v>54</v>
      </c>
      <c r="E30" s="149" t="s">
        <v>157</v>
      </c>
      <c r="F30" s="103" t="s">
        <v>158</v>
      </c>
      <c r="G30" s="147" t="s">
        <v>159</v>
      </c>
      <c r="I30" s="286"/>
    </row>
    <row r="31" spans="1:16" ht="20" customHeight="1" thickBot="1">
      <c r="A31" s="154" t="str">
        <f>'BASE PAX'!A6</f>
        <v>BREAKFAST</v>
      </c>
      <c r="B31" s="285">
        <f>(B5*B9*'BASE PAX'!G6)+('BASE PAX'!H6*B6*B9)</f>
        <v>0</v>
      </c>
      <c r="C31" s="121"/>
      <c r="D31" s="144"/>
      <c r="E31" s="283">
        <v>0</v>
      </c>
      <c r="F31" s="122">
        <f t="shared" ref="F31:F46" si="3">B31*C31</f>
        <v>0</v>
      </c>
      <c r="G31" s="325">
        <f>0.2*B31</f>
        <v>0</v>
      </c>
      <c r="H31" s="351" t="str">
        <f>A31</f>
        <v>BREAKFAST</v>
      </c>
      <c r="I31" s="353">
        <f>B31</f>
        <v>0</v>
      </c>
    </row>
    <row r="32" spans="1:16" ht="20" customHeight="1">
      <c r="A32" s="155" t="str">
        <f>'BASE PAX'!A7</f>
        <v>LUNCH 1</v>
      </c>
      <c r="B32" s="74">
        <f>($B$5+$B$6)*'BASE PAX'!B7</f>
        <v>0</v>
      </c>
      <c r="C32" s="123">
        <f>'BASE PAX'!C7</f>
        <v>40000</v>
      </c>
      <c r="D32" s="125">
        <f>'BASE PAX'!D7</f>
        <v>48000</v>
      </c>
      <c r="E32" s="151">
        <f t="shared" ref="E32:E46" si="4">D32*B32</f>
        <v>0</v>
      </c>
      <c r="F32" s="124">
        <f t="shared" si="3"/>
        <v>0</v>
      </c>
      <c r="G32" s="146">
        <f t="shared" ref="G32:G46" si="5">E32-F32</f>
        <v>0</v>
      </c>
      <c r="I32" s="290"/>
    </row>
    <row r="33" spans="1:11" ht="20" customHeight="1">
      <c r="A33" s="155" t="str">
        <f>'BASE PAX'!A8</f>
        <v>LUNCH 2</v>
      </c>
      <c r="B33" s="74">
        <f>($B$5+$B$6)*'BASE PAX'!B8</f>
        <v>0</v>
      </c>
      <c r="C33" s="123">
        <f>'BASE PAX'!C8</f>
        <v>40000</v>
      </c>
      <c r="D33" s="125">
        <f>'BASE PAX'!D8</f>
        <v>48000</v>
      </c>
      <c r="E33" s="151">
        <f t="shared" si="4"/>
        <v>0</v>
      </c>
      <c r="F33" s="124">
        <f t="shared" si="3"/>
        <v>0</v>
      </c>
      <c r="G33" s="146">
        <f t="shared" si="5"/>
        <v>0</v>
      </c>
      <c r="I33" s="290"/>
    </row>
    <row r="34" spans="1:11" ht="20" customHeight="1">
      <c r="A34" s="155" t="str">
        <f>'BASE PAX'!A9</f>
        <v>LUNCH 3</v>
      </c>
      <c r="B34" s="74">
        <f>($B$5+$B$6)*'BASE PAX'!B9</f>
        <v>0</v>
      </c>
      <c r="C34" s="123">
        <f>'BASE PAX'!C9</f>
        <v>40000</v>
      </c>
      <c r="D34" s="125">
        <f>'BASE PAX'!D9</f>
        <v>48000</v>
      </c>
      <c r="E34" s="151">
        <f t="shared" si="4"/>
        <v>0</v>
      </c>
      <c r="F34" s="124">
        <f t="shared" si="3"/>
        <v>0</v>
      </c>
      <c r="G34" s="146">
        <f t="shared" si="5"/>
        <v>0</v>
      </c>
      <c r="I34" s="290"/>
    </row>
    <row r="35" spans="1:11" ht="20" customHeight="1">
      <c r="A35" s="155" t="str">
        <f>'BASE PAX'!A10</f>
        <v>LUNCH 4</v>
      </c>
      <c r="B35" s="74">
        <f>($B$5+$B$6)*'BASE PAX'!B10</f>
        <v>0</v>
      </c>
      <c r="C35" s="123">
        <f>'BASE PAX'!C10</f>
        <v>45000</v>
      </c>
      <c r="D35" s="125">
        <f>'BASE PAX'!D10</f>
        <v>54000</v>
      </c>
      <c r="E35" s="151">
        <f t="shared" si="4"/>
        <v>0</v>
      </c>
      <c r="F35" s="124">
        <f t="shared" si="3"/>
        <v>0</v>
      </c>
      <c r="G35" s="146">
        <f t="shared" si="5"/>
        <v>0</v>
      </c>
      <c r="I35" s="290"/>
    </row>
    <row r="36" spans="1:11" ht="20" customHeight="1">
      <c r="A36" s="155" t="str">
        <f>'BASE PAX'!A11</f>
        <v>LUNCH 5</v>
      </c>
      <c r="B36" s="74">
        <f>($B$5+($B$6*0.6))*'BASE PAX'!B11</f>
        <v>0</v>
      </c>
      <c r="C36" s="123">
        <f>'BASE PAX'!C11</f>
        <v>50000</v>
      </c>
      <c r="D36" s="125">
        <f>'BASE PAX'!D11</f>
        <v>60000</v>
      </c>
      <c r="E36" s="151">
        <f t="shared" si="4"/>
        <v>0</v>
      </c>
      <c r="F36" s="124">
        <f t="shared" si="3"/>
        <v>0</v>
      </c>
      <c r="G36" s="146">
        <f t="shared" si="5"/>
        <v>0</v>
      </c>
      <c r="I36" s="290"/>
    </row>
    <row r="37" spans="1:11" ht="20" customHeight="1">
      <c r="A37" s="155" t="str">
        <f>'BASE PAX'!A12</f>
        <v>LUNCH 6</v>
      </c>
      <c r="B37" s="74">
        <f>($B$5+$B$6)*'BASE PAX'!B12</f>
        <v>0</v>
      </c>
      <c r="C37" s="123">
        <f>'BASE PAX'!C12</f>
        <v>0</v>
      </c>
      <c r="D37" s="125">
        <f>'BASE PAX'!D12</f>
        <v>0</v>
      </c>
      <c r="E37" s="151">
        <f t="shared" si="4"/>
        <v>0</v>
      </c>
      <c r="F37" s="124">
        <f t="shared" si="3"/>
        <v>0</v>
      </c>
      <c r="G37" s="146">
        <f t="shared" si="5"/>
        <v>0</v>
      </c>
      <c r="I37" s="290"/>
    </row>
    <row r="38" spans="1:11" ht="20" customHeight="1">
      <c r="A38" s="155" t="str">
        <f>'BASE PAX'!A13</f>
        <v>LUNCH 7</v>
      </c>
      <c r="B38" s="74">
        <f>($B$5+$B$6)*'BASE PAX'!B13</f>
        <v>0</v>
      </c>
      <c r="C38" s="123">
        <f>'BASE PAX'!C13</f>
        <v>5000</v>
      </c>
      <c r="D38" s="125">
        <f>'BASE PAX'!D13</f>
        <v>6000</v>
      </c>
      <c r="E38" s="151">
        <f t="shared" si="4"/>
        <v>0</v>
      </c>
      <c r="F38" s="124">
        <f t="shared" si="3"/>
        <v>0</v>
      </c>
      <c r="G38" s="146">
        <f t="shared" si="5"/>
        <v>0</v>
      </c>
      <c r="I38" s="290"/>
    </row>
    <row r="39" spans="1:11" ht="20" customHeight="1">
      <c r="A39" s="156" t="str">
        <f>'BASE PAX'!A14</f>
        <v>SNACKS</v>
      </c>
      <c r="B39" s="75">
        <f>($B$5+$B$6)*'BASE PAX'!B14</f>
        <v>0</v>
      </c>
      <c r="C39" s="125">
        <f>'BASE PAX'!C14</f>
        <v>8000</v>
      </c>
      <c r="D39" s="145">
        <f>'BASE PAX'!D14</f>
        <v>9600</v>
      </c>
      <c r="E39" s="150">
        <f t="shared" si="4"/>
        <v>0</v>
      </c>
      <c r="F39" s="122">
        <f t="shared" si="3"/>
        <v>0</v>
      </c>
      <c r="G39" s="146">
        <f t="shared" si="5"/>
        <v>0</v>
      </c>
      <c r="I39" s="290"/>
    </row>
    <row r="40" spans="1:11" ht="20" customHeight="1">
      <c r="A40" s="155" t="str">
        <f>'BASE PAX'!A15</f>
        <v>DINNER 1</v>
      </c>
      <c r="B40" s="74">
        <f>($B$5+($B$6*0.6))*'BASE PAX'!B15</f>
        <v>0</v>
      </c>
      <c r="C40" s="123">
        <f>'BASE PAX'!C15</f>
        <v>70000</v>
      </c>
      <c r="D40" s="125">
        <f>'BASE PAX'!D15</f>
        <v>84000</v>
      </c>
      <c r="E40" s="151">
        <f t="shared" si="4"/>
        <v>0</v>
      </c>
      <c r="F40" s="124">
        <f t="shared" si="3"/>
        <v>0</v>
      </c>
      <c r="G40" s="146">
        <f t="shared" si="5"/>
        <v>0</v>
      </c>
      <c r="H40" s="287"/>
      <c r="I40" s="291"/>
    </row>
    <row r="41" spans="1:11" ht="20" customHeight="1">
      <c r="A41" s="155" t="str">
        <f>'BASE PAX'!A16</f>
        <v>DINNER 2</v>
      </c>
      <c r="B41" s="74">
        <f>($B$5+($B$6*0.6))*'BASE PAX'!B16</f>
        <v>0</v>
      </c>
      <c r="C41" s="123">
        <f>'BASE PAX'!C16</f>
        <v>25000</v>
      </c>
      <c r="D41" s="125">
        <f>'BASE PAX'!D16</f>
        <v>30000</v>
      </c>
      <c r="E41" s="151">
        <f t="shared" si="4"/>
        <v>0</v>
      </c>
      <c r="F41" s="124">
        <f t="shared" si="3"/>
        <v>0</v>
      </c>
      <c r="G41" s="146">
        <f t="shared" si="5"/>
        <v>0</v>
      </c>
      <c r="I41" s="290"/>
    </row>
    <row r="42" spans="1:11" ht="20" customHeight="1">
      <c r="A42" s="155" t="str">
        <f>'BASE PAX'!A17</f>
        <v>DINNER 3</v>
      </c>
      <c r="B42" s="74">
        <f>($B$5+($B$6*0.6))*'BASE PAX'!B17</f>
        <v>0</v>
      </c>
      <c r="C42" s="123">
        <f>'BASE PAX'!C17</f>
        <v>50000</v>
      </c>
      <c r="D42" s="125">
        <f>'BASE PAX'!D17</f>
        <v>60000</v>
      </c>
      <c r="E42" s="151">
        <f t="shared" si="4"/>
        <v>0</v>
      </c>
      <c r="F42" s="124">
        <f t="shared" si="3"/>
        <v>0</v>
      </c>
      <c r="G42" s="146">
        <f t="shared" si="5"/>
        <v>0</v>
      </c>
      <c r="I42" s="290"/>
    </row>
    <row r="43" spans="1:11" ht="20" customHeight="1">
      <c r="A43" s="155" t="str">
        <f>'BASE PAX'!A18</f>
        <v>DINNER 4</v>
      </c>
      <c r="B43" s="74">
        <f>($B$5+$B$6)*'BASE PAX'!B18</f>
        <v>0</v>
      </c>
      <c r="C43" s="123">
        <f>'BASE PAX'!C18</f>
        <v>65000</v>
      </c>
      <c r="D43" s="125">
        <f>'BASE PAX'!D18</f>
        <v>78000</v>
      </c>
      <c r="E43" s="151">
        <f t="shared" si="4"/>
        <v>0</v>
      </c>
      <c r="F43" s="124">
        <f t="shared" si="3"/>
        <v>0</v>
      </c>
      <c r="G43" s="146">
        <f t="shared" si="5"/>
        <v>0</v>
      </c>
      <c r="I43" s="9"/>
    </row>
    <row r="44" spans="1:11" ht="20" customHeight="1">
      <c r="A44" s="155" t="str">
        <f>'BASE PAX'!A19</f>
        <v>DINNER 5</v>
      </c>
      <c r="B44" s="74">
        <f>($B$5+($B$6*0.6))*'BASE PAX'!B19</f>
        <v>0</v>
      </c>
      <c r="C44" s="123">
        <f>'BASE PAX'!C19</f>
        <v>75000</v>
      </c>
      <c r="D44" s="125">
        <f>'BASE PAX'!D19</f>
        <v>90000</v>
      </c>
      <c r="E44" s="151">
        <f t="shared" si="4"/>
        <v>0</v>
      </c>
      <c r="F44" s="124">
        <f t="shared" si="3"/>
        <v>0</v>
      </c>
      <c r="G44" s="146">
        <f t="shared" si="5"/>
        <v>0</v>
      </c>
      <c r="I44" s="9"/>
    </row>
    <row r="45" spans="1:11" ht="20" customHeight="1">
      <c r="A45" s="155" t="str">
        <f>'BASE PAX'!A20</f>
        <v>DINNER 6</v>
      </c>
      <c r="B45" s="74">
        <f>($B$5+$B$6)*'BASE PAX'!B20</f>
        <v>0</v>
      </c>
      <c r="C45" s="123">
        <f>'BASE PAX'!C20</f>
        <v>0</v>
      </c>
      <c r="D45" s="125">
        <f>'BASE PAX'!D20</f>
        <v>0</v>
      </c>
      <c r="E45" s="151">
        <f t="shared" si="4"/>
        <v>0</v>
      </c>
      <c r="F45" s="124">
        <f t="shared" si="3"/>
        <v>0</v>
      </c>
      <c r="G45" s="146">
        <f t="shared" si="5"/>
        <v>0</v>
      </c>
      <c r="I45" s="9"/>
    </row>
    <row r="46" spans="1:11" ht="20" customHeight="1" thickBot="1">
      <c r="A46" s="155" t="str">
        <f>'BASE PAX'!A21</f>
        <v>DINNER 7</v>
      </c>
      <c r="B46" s="74">
        <f>($B$5+($B$6*0.6))*'BASE PAX'!B21</f>
        <v>0</v>
      </c>
      <c r="C46" s="123">
        <f>'BASE PAX'!C21</f>
        <v>75000</v>
      </c>
      <c r="D46" s="125">
        <f>'BASE PAX'!D21</f>
        <v>90000</v>
      </c>
      <c r="E46" s="151">
        <f t="shared" si="4"/>
        <v>0</v>
      </c>
      <c r="F46" s="124">
        <f t="shared" si="3"/>
        <v>0</v>
      </c>
      <c r="G46" s="146">
        <f t="shared" si="5"/>
        <v>0</v>
      </c>
      <c r="I46" s="10"/>
    </row>
    <row r="47" spans="1:11" ht="20" customHeight="1">
      <c r="A47" s="155" t="str">
        <f>'BASE PAX'!A22</f>
        <v>QUANT. TOTAL | PADRAO ALMOÇO</v>
      </c>
      <c r="B47" s="74">
        <f>'BASE PAX'!B22</f>
        <v>0</v>
      </c>
      <c r="C47" s="123"/>
      <c r="D47" s="125"/>
      <c r="E47" s="151"/>
      <c r="F47" s="124"/>
      <c r="G47" s="325">
        <f>0.2*I47</f>
        <v>0</v>
      </c>
      <c r="H47" s="338" t="str">
        <f>A47</f>
        <v>QUANT. TOTAL | PADRAO ALMOÇO</v>
      </c>
      <c r="I47" s="349">
        <f>(B5*B47*'BASE PAX'!G22)+(B6*B47*'BASE PAX'!H22)</f>
        <v>0</v>
      </c>
      <c r="J47" s="328"/>
      <c r="K47" s="329"/>
    </row>
    <row r="48" spans="1:11" ht="20" customHeight="1" thickBot="1">
      <c r="A48" s="163" t="str">
        <f>'BASE PAX'!A23</f>
        <v>QUANT. TOTAL | PADRAO JANTAR</v>
      </c>
      <c r="B48" s="164">
        <f>'BASE PAX'!B23</f>
        <v>0</v>
      </c>
      <c r="C48" s="165"/>
      <c r="D48" s="166"/>
      <c r="E48" s="167"/>
      <c r="F48" s="168"/>
      <c r="G48" s="326">
        <f>0.2*I48</f>
        <v>0</v>
      </c>
      <c r="H48" s="347" t="str">
        <f>A48</f>
        <v>QUANT. TOTAL | PADRAO JANTAR</v>
      </c>
      <c r="I48" s="335">
        <f>(B5*B48*'BASE PAX'!G23)+(B6*B48*'BASE PAX'!H23)</f>
        <v>0</v>
      </c>
      <c r="J48" s="330"/>
      <c r="K48" s="331"/>
    </row>
    <row r="49" spans="1:16" ht="29" customHeight="1" thickBot="1">
      <c r="A49" s="161" t="s">
        <v>72</v>
      </c>
      <c r="B49" s="157"/>
      <c r="C49" s="158"/>
      <c r="D49" s="303"/>
      <c r="E49" s="104">
        <f>SUM(E31:E48)</f>
        <v>0</v>
      </c>
      <c r="F49" s="104">
        <f>SUM(F31:F48)</f>
        <v>0</v>
      </c>
      <c r="G49" s="327">
        <f>SUM(G31:G48)</f>
        <v>0</v>
      </c>
      <c r="H49" s="341" t="s">
        <v>55</v>
      </c>
      <c r="I49" s="342">
        <f>I31+I47+I48</f>
        <v>0</v>
      </c>
      <c r="J49" s="358">
        <f>I49+E49</f>
        <v>0</v>
      </c>
      <c r="K49" s="332" t="s">
        <v>160</v>
      </c>
    </row>
    <row r="50" spans="1:16" s="8" customFormat="1" ht="11" customHeight="1" thickBot="1">
      <c r="A50" s="16"/>
      <c r="B50" s="56"/>
      <c r="C50" s="105"/>
      <c r="D50" s="102"/>
      <c r="E50" s="102"/>
      <c r="F50" s="7"/>
      <c r="G50" s="17"/>
      <c r="H50" s="7"/>
      <c r="I50" s="7"/>
      <c r="J50" s="7"/>
      <c r="K50" s="7"/>
      <c r="L50" s="7"/>
      <c r="M50" s="7"/>
      <c r="N50" s="7"/>
      <c r="O50" s="7"/>
      <c r="P50" s="7"/>
    </row>
    <row r="51" spans="1:16" ht="34" customHeight="1" thickBot="1">
      <c r="A51" s="21" t="s">
        <v>161</v>
      </c>
      <c r="B51" s="207" t="s">
        <v>52</v>
      </c>
      <c r="C51" s="208" t="s">
        <v>53</v>
      </c>
      <c r="D51" s="209" t="s">
        <v>54</v>
      </c>
      <c r="E51" s="172" t="s">
        <v>55</v>
      </c>
      <c r="F51" s="142" t="s">
        <v>158</v>
      </c>
      <c r="G51" s="182" t="s">
        <v>159</v>
      </c>
    </row>
    <row r="52" spans="1:16" ht="20" customHeight="1">
      <c r="A52" s="76" t="str">
        <f>'BASE PAX'!A27</f>
        <v>SUCOS</v>
      </c>
      <c r="B52" s="205">
        <f>'BASE PAX'!B27</f>
        <v>0</v>
      </c>
      <c r="C52" s="193">
        <f>'BASE PAX'!C27</f>
        <v>0</v>
      </c>
      <c r="D52" s="206">
        <f t="shared" ref="D52:D58" si="6">(C52*0.2)+C52</f>
        <v>0</v>
      </c>
      <c r="E52" s="174">
        <f t="shared" ref="E52:E58" si="7">D52*B52</f>
        <v>0</v>
      </c>
      <c r="F52" s="173">
        <f t="shared" ref="F52:F58" si="8">B52*C52</f>
        <v>0</v>
      </c>
      <c r="G52" s="183">
        <f t="shared" ref="G52:G59" si="9">E52-F52</f>
        <v>0</v>
      </c>
    </row>
    <row r="53" spans="1:16" ht="20" customHeight="1">
      <c r="A53" s="76" t="str">
        <f>'BASE PAX'!A28</f>
        <v>SUCOS</v>
      </c>
      <c r="B53" s="205">
        <f>'BASE PAX'!B28</f>
        <v>0</v>
      </c>
      <c r="C53" s="175">
        <f>'BASE PAX'!C28</f>
        <v>0</v>
      </c>
      <c r="D53" s="176">
        <f t="shared" si="6"/>
        <v>0</v>
      </c>
      <c r="E53" s="174">
        <f t="shared" si="7"/>
        <v>0</v>
      </c>
      <c r="F53" s="173">
        <f t="shared" si="8"/>
        <v>0</v>
      </c>
      <c r="G53" s="183">
        <f t="shared" si="9"/>
        <v>0</v>
      </c>
    </row>
    <row r="54" spans="1:16" ht="20" customHeight="1">
      <c r="A54" s="87" t="str">
        <f>'BASE PAX'!A29</f>
        <v>CERVEJAS</v>
      </c>
      <c r="B54" s="205">
        <f>'BASE PAX'!B29</f>
        <v>0</v>
      </c>
      <c r="C54" s="175">
        <f>'BASE PAX'!C29</f>
        <v>2000</v>
      </c>
      <c r="D54" s="176">
        <f t="shared" si="6"/>
        <v>2400</v>
      </c>
      <c r="E54" s="174">
        <f t="shared" si="7"/>
        <v>0</v>
      </c>
      <c r="F54" s="173">
        <f t="shared" si="8"/>
        <v>0</v>
      </c>
      <c r="G54" s="183">
        <f t="shared" si="9"/>
        <v>0</v>
      </c>
    </row>
    <row r="55" spans="1:16" ht="20" customHeight="1">
      <c r="A55" s="87" t="str">
        <f>'BASE PAX'!A30</f>
        <v>VINHOS</v>
      </c>
      <c r="B55" s="205">
        <f>'BASE PAX'!B30</f>
        <v>0</v>
      </c>
      <c r="C55" s="175">
        <f>'BASE PAX'!C30</f>
        <v>8000</v>
      </c>
      <c r="D55" s="176">
        <f t="shared" si="6"/>
        <v>9600</v>
      </c>
      <c r="E55" s="174">
        <f t="shared" si="7"/>
        <v>0</v>
      </c>
      <c r="F55" s="173">
        <f t="shared" si="8"/>
        <v>0</v>
      </c>
      <c r="G55" s="183">
        <f t="shared" si="9"/>
        <v>0</v>
      </c>
    </row>
    <row r="56" spans="1:16" ht="20" customHeight="1">
      <c r="A56" s="87" t="str">
        <f>'BASE PAX'!A31</f>
        <v>DRINKS</v>
      </c>
      <c r="B56" s="205">
        <f>'BASE PAX'!B31</f>
        <v>0</v>
      </c>
      <c r="C56" s="175">
        <f>'BASE PAX'!C31</f>
        <v>15000</v>
      </c>
      <c r="D56" s="176">
        <f t="shared" si="6"/>
        <v>18000</v>
      </c>
      <c r="E56" s="174">
        <f t="shared" si="7"/>
        <v>0</v>
      </c>
      <c r="F56" s="173">
        <f t="shared" si="8"/>
        <v>0</v>
      </c>
      <c r="G56" s="183">
        <f t="shared" si="9"/>
        <v>0</v>
      </c>
    </row>
    <row r="57" spans="1:16" ht="20" customHeight="1">
      <c r="A57" s="87" t="str">
        <f>'BASE PAX'!A32</f>
        <v>COOLER</v>
      </c>
      <c r="B57" s="205">
        <f>'BASE PAX'!B32</f>
        <v>0</v>
      </c>
      <c r="C57" s="175">
        <f>'BASE PAX'!C32</f>
        <v>5000</v>
      </c>
      <c r="D57" s="176">
        <f t="shared" si="6"/>
        <v>6000</v>
      </c>
      <c r="E57" s="174">
        <f t="shared" si="7"/>
        <v>0</v>
      </c>
      <c r="F57" s="173">
        <f t="shared" si="8"/>
        <v>0</v>
      </c>
      <c r="G57" s="183">
        <f t="shared" si="9"/>
        <v>0</v>
      </c>
    </row>
    <row r="58" spans="1:16" ht="20" customHeight="1" thickBot="1">
      <c r="A58" s="180">
        <f>'BASE PAX'!A33</f>
        <v>0</v>
      </c>
      <c r="B58" s="205">
        <f>'BASE PAX'!B33</f>
        <v>0</v>
      </c>
      <c r="C58" s="178">
        <f>'BASE PAX'!C33</f>
        <v>0</v>
      </c>
      <c r="D58" s="179">
        <f t="shared" si="6"/>
        <v>0</v>
      </c>
      <c r="E58" s="184">
        <f t="shared" si="7"/>
        <v>0</v>
      </c>
      <c r="F58" s="185">
        <f t="shared" si="8"/>
        <v>0</v>
      </c>
      <c r="G58" s="186">
        <f t="shared" si="9"/>
        <v>0</v>
      </c>
    </row>
    <row r="59" spans="1:16" ht="48" customHeight="1" thickBot="1">
      <c r="A59" s="21" t="s">
        <v>79</v>
      </c>
      <c r="B59" s="77"/>
      <c r="C59" s="126"/>
      <c r="D59" s="181"/>
      <c r="E59" s="127">
        <f>SUM(E52:E58)</f>
        <v>0</v>
      </c>
      <c r="F59" s="188">
        <f>SUM(F52:F58)</f>
        <v>0</v>
      </c>
      <c r="G59" s="189">
        <f t="shared" si="9"/>
        <v>0</v>
      </c>
    </row>
    <row r="60" spans="1:16" s="8" customFormat="1" ht="11" customHeight="1" thickBot="1">
      <c r="A60" s="16"/>
      <c r="B60" s="56"/>
      <c r="C60" s="105"/>
      <c r="D60" s="102"/>
      <c r="E60" s="102"/>
      <c r="F60" s="7"/>
      <c r="G60" s="17"/>
      <c r="H60" s="7"/>
      <c r="I60" s="7"/>
      <c r="J60" s="7"/>
      <c r="K60" s="7"/>
      <c r="L60" s="7"/>
      <c r="M60" s="7"/>
      <c r="N60" s="7"/>
      <c r="O60" s="7"/>
      <c r="P60" s="7"/>
    </row>
    <row r="61" spans="1:16" s="10" customFormat="1" ht="42" customHeight="1" thickBot="1">
      <c r="A61" s="226" t="s">
        <v>18</v>
      </c>
      <c r="B61" s="227" t="s">
        <v>52</v>
      </c>
      <c r="C61" s="228" t="s">
        <v>53</v>
      </c>
      <c r="D61" s="229" t="s">
        <v>54</v>
      </c>
      <c r="E61" s="229" t="s">
        <v>55</v>
      </c>
      <c r="F61" s="228" t="s">
        <v>158</v>
      </c>
      <c r="G61" s="230" t="s">
        <v>159</v>
      </c>
    </row>
    <row r="62" spans="1:16" ht="20" customHeight="1">
      <c r="A62" s="223" t="str">
        <f>'BASE PAX'!A37</f>
        <v>HOTTUBE</v>
      </c>
      <c r="B62" s="224">
        <f>'BASE PAX'!B37</f>
        <v>0</v>
      </c>
      <c r="C62" s="195">
        <f>'BASE PAX'!C37</f>
        <v>12000</v>
      </c>
      <c r="D62" s="225">
        <f t="shared" ref="D62:D71" si="10">C62*0.2+C62</f>
        <v>14400</v>
      </c>
      <c r="E62" s="225">
        <f t="shared" ref="E62:E71" si="11">D62*B62</f>
        <v>0</v>
      </c>
      <c r="F62" s="195">
        <f t="shared" ref="F62:F72" si="12">B62*C62</f>
        <v>0</v>
      </c>
      <c r="G62" s="194">
        <f t="shared" ref="G62:G72" si="13">E62-F62</f>
        <v>0</v>
      </c>
    </row>
    <row r="63" spans="1:16" ht="20" customHeight="1">
      <c r="A63" s="219" t="str">
        <f>'BASE PAX'!A38</f>
        <v>TREKKING 1/2 DAY</v>
      </c>
      <c r="B63" s="224">
        <f>'BASE PAX'!B38</f>
        <v>0</v>
      </c>
      <c r="C63" s="196">
        <f>'BASE PAX'!C38</f>
        <v>60000</v>
      </c>
      <c r="D63" s="220">
        <f t="shared" si="10"/>
        <v>72000</v>
      </c>
      <c r="E63" s="220">
        <f t="shared" si="11"/>
        <v>0</v>
      </c>
      <c r="F63" s="196">
        <f t="shared" si="12"/>
        <v>0</v>
      </c>
      <c r="G63" s="190">
        <f t="shared" si="13"/>
        <v>0</v>
      </c>
    </row>
    <row r="64" spans="1:16" ht="20" customHeight="1">
      <c r="A64" s="219" t="str">
        <f>'BASE PAX'!A39</f>
        <v>TREKKING FUK DAY</v>
      </c>
      <c r="B64" s="224">
        <f>'BASE PAX'!B39</f>
        <v>0</v>
      </c>
      <c r="C64" s="196">
        <f>'BASE PAX'!C39</f>
        <v>90000</v>
      </c>
      <c r="D64" s="220">
        <f t="shared" si="10"/>
        <v>108000</v>
      </c>
      <c r="E64" s="220">
        <f t="shared" si="11"/>
        <v>0</v>
      </c>
      <c r="F64" s="196">
        <f t="shared" si="12"/>
        <v>0</v>
      </c>
      <c r="G64" s="190">
        <f t="shared" si="13"/>
        <v>0</v>
      </c>
    </row>
    <row r="65" spans="1:16" ht="20" customHeight="1">
      <c r="A65" s="219" t="str">
        <f>'BASE PAX'!A40</f>
        <v>FLOTADA FAMILIAR</v>
      </c>
      <c r="B65" s="224">
        <f>'BASE PAX'!B40</f>
        <v>0</v>
      </c>
      <c r="C65" s="196">
        <f>'BASE PAX'!C40</f>
        <v>60000</v>
      </c>
      <c r="D65" s="220">
        <f t="shared" si="10"/>
        <v>72000</v>
      </c>
      <c r="E65" s="220">
        <f t="shared" si="11"/>
        <v>0</v>
      </c>
      <c r="F65" s="196">
        <f t="shared" si="12"/>
        <v>0</v>
      </c>
      <c r="G65" s="190">
        <f t="shared" si="13"/>
        <v>0</v>
      </c>
    </row>
    <row r="66" spans="1:16" ht="20" customHeight="1">
      <c r="A66" s="219" t="str">
        <f>'BASE PAX'!A41</f>
        <v>RAFTING 1/2 DAY</v>
      </c>
      <c r="B66" s="224">
        <f>'BASE PAX'!B41</f>
        <v>0</v>
      </c>
      <c r="C66" s="196">
        <f>'BASE PAX'!C41</f>
        <v>75000</v>
      </c>
      <c r="D66" s="220">
        <f t="shared" si="10"/>
        <v>90000</v>
      </c>
      <c r="E66" s="220">
        <f t="shared" si="11"/>
        <v>0</v>
      </c>
      <c r="F66" s="196">
        <f t="shared" si="12"/>
        <v>0</v>
      </c>
      <c r="G66" s="190">
        <f t="shared" si="13"/>
        <v>0</v>
      </c>
    </row>
    <row r="67" spans="1:16" ht="20" customHeight="1">
      <c r="A67" s="219" t="str">
        <f>'BASE PAX'!A42</f>
        <v>RAFTING FULL DAY</v>
      </c>
      <c r="B67" s="224">
        <f>'BASE PAX'!B42</f>
        <v>0</v>
      </c>
      <c r="C67" s="196">
        <f>'BASE PAX'!C42</f>
        <v>110000</v>
      </c>
      <c r="D67" s="220">
        <f t="shared" si="10"/>
        <v>132000</v>
      </c>
      <c r="E67" s="220">
        <f t="shared" si="11"/>
        <v>0</v>
      </c>
      <c r="F67" s="196">
        <f t="shared" si="12"/>
        <v>0</v>
      </c>
      <c r="G67" s="190">
        <f t="shared" si="13"/>
        <v>0</v>
      </c>
    </row>
    <row r="68" spans="1:16" ht="20" customHeight="1">
      <c r="A68" s="219" t="str">
        <f>'BASE PAX'!A43</f>
        <v>CABALGADA 1/2 DAy</v>
      </c>
      <c r="B68" s="224">
        <f>'BASE PAX'!B43</f>
        <v>0</v>
      </c>
      <c r="C68" s="196">
        <f>'BASE PAX'!C43</f>
        <v>90000</v>
      </c>
      <c r="D68" s="220">
        <f t="shared" si="10"/>
        <v>108000</v>
      </c>
      <c r="E68" s="220">
        <f t="shared" si="11"/>
        <v>0</v>
      </c>
      <c r="F68" s="196">
        <f t="shared" si="12"/>
        <v>0</v>
      </c>
      <c r="G68" s="190">
        <f t="shared" si="13"/>
        <v>0</v>
      </c>
    </row>
    <row r="69" spans="1:16" ht="20" customHeight="1">
      <c r="A69" s="219" t="str">
        <f>'BASE PAX'!A44</f>
        <v>CABALGADA FULL DAY</v>
      </c>
      <c r="B69" s="224">
        <f>'BASE PAX'!B44</f>
        <v>0</v>
      </c>
      <c r="C69" s="196">
        <f>'BASE PAX'!C44</f>
        <v>140000</v>
      </c>
      <c r="D69" s="220">
        <f t="shared" si="10"/>
        <v>168000</v>
      </c>
      <c r="E69" s="220">
        <f t="shared" si="11"/>
        <v>0</v>
      </c>
      <c r="F69" s="196">
        <f t="shared" si="12"/>
        <v>0</v>
      </c>
      <c r="G69" s="190">
        <f t="shared" si="13"/>
        <v>0</v>
      </c>
    </row>
    <row r="70" spans="1:16" ht="20" customHeight="1">
      <c r="A70" s="219" t="str">
        <f>'BASE PAX'!A45</f>
        <v>LANCHA YELCHO</v>
      </c>
      <c r="B70" s="224">
        <f>'BASE PAX'!B45</f>
        <v>0</v>
      </c>
      <c r="C70" s="196">
        <f>'BASE PAX'!C45</f>
        <v>120000</v>
      </c>
      <c r="D70" s="220">
        <f t="shared" si="10"/>
        <v>144000</v>
      </c>
      <c r="E70" s="220">
        <f t="shared" si="11"/>
        <v>0</v>
      </c>
      <c r="F70" s="196">
        <f t="shared" si="12"/>
        <v>0</v>
      </c>
      <c r="G70" s="190">
        <f t="shared" si="13"/>
        <v>0</v>
      </c>
    </row>
    <row r="71" spans="1:16" ht="20" customHeight="1" thickBot="1">
      <c r="A71" s="221" t="str">
        <f>'BASE PAX'!A46</f>
        <v>RECREACAO INFANTIL 3HS</v>
      </c>
      <c r="B71" s="224">
        <f>'BASE PAX'!B46</f>
        <v>0</v>
      </c>
      <c r="C71" s="197">
        <f>'BASE PAX'!C46</f>
        <v>30000</v>
      </c>
      <c r="D71" s="220">
        <f t="shared" si="10"/>
        <v>36000</v>
      </c>
      <c r="E71" s="222">
        <f t="shared" si="11"/>
        <v>0</v>
      </c>
      <c r="F71" s="197">
        <f t="shared" si="12"/>
        <v>0</v>
      </c>
      <c r="G71" s="192">
        <f t="shared" si="13"/>
        <v>0</v>
      </c>
    </row>
    <row r="72" spans="1:16" ht="48" customHeight="1" thickBot="1">
      <c r="A72" s="22" t="s">
        <v>84</v>
      </c>
      <c r="B72" s="79"/>
      <c r="C72" s="128"/>
      <c r="D72" s="128"/>
      <c r="E72" s="198">
        <f>SUM(E62:E71)</f>
        <v>0</v>
      </c>
      <c r="F72" s="204">
        <f t="shared" si="12"/>
        <v>0</v>
      </c>
      <c r="G72" s="203">
        <f t="shared" si="13"/>
        <v>0</v>
      </c>
    </row>
    <row r="73" spans="1:16" ht="37" customHeight="1" thickBot="1"/>
    <row r="74" spans="1:16" s="8" customFormat="1" ht="36" customHeight="1" thickBot="1">
      <c r="A74" s="23" t="s">
        <v>116</v>
      </c>
      <c r="B74" s="214" t="s">
        <v>52</v>
      </c>
      <c r="C74" s="215" t="s">
        <v>53</v>
      </c>
      <c r="D74" s="153" t="s">
        <v>54</v>
      </c>
      <c r="E74" s="153" t="s">
        <v>55</v>
      </c>
      <c r="F74" s="143" t="s">
        <v>162</v>
      </c>
      <c r="G74" s="147" t="s">
        <v>159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 ht="20" customHeight="1">
      <c r="A75" s="88" t="str">
        <f>'BASE PAX'!A50</f>
        <v>TRANSFER AEROPORTO CHEGADA</v>
      </c>
      <c r="B75" s="211">
        <f>'BASE PAX'!B50</f>
        <v>0</v>
      </c>
      <c r="C75" s="213">
        <v>50000</v>
      </c>
      <c r="D75" s="231">
        <f>C75*0.2+C75</f>
        <v>60000</v>
      </c>
      <c r="E75" s="231">
        <f>D75*B75</f>
        <v>0</v>
      </c>
      <c r="F75" s="210">
        <f>B75*C75</f>
        <v>0</v>
      </c>
      <c r="G75" s="199">
        <f t="shared" ref="G75:G80" si="14">E75-F75</f>
        <v>0</v>
      </c>
    </row>
    <row r="76" spans="1:16" ht="20" customHeight="1">
      <c r="A76" s="88" t="str">
        <f>'BASE PAX'!A51</f>
        <v>TRANSFER AEROPORTO PARTIDA</v>
      </c>
      <c r="B76" s="211">
        <f>'BASE PAX'!B51</f>
        <v>0</v>
      </c>
      <c r="C76" s="212">
        <f>'BASE PAX'!C51</f>
        <v>80000</v>
      </c>
      <c r="D76" s="232">
        <f>C76*0.2+C76</f>
        <v>96000</v>
      </c>
      <c r="E76" s="232">
        <f>D76*B76</f>
        <v>0</v>
      </c>
      <c r="F76" s="210">
        <f>B76*C76</f>
        <v>0</v>
      </c>
      <c r="G76" s="200">
        <f t="shared" si="14"/>
        <v>0</v>
      </c>
    </row>
    <row r="77" spans="1:16" ht="20" customHeight="1">
      <c r="A77" s="88" t="str">
        <f>'BASE PAX'!A52</f>
        <v>TRANSFERS INTERNO</v>
      </c>
      <c r="B77" s="211">
        <f>'BASE PAX'!B52</f>
        <v>0</v>
      </c>
      <c r="C77" s="212">
        <f>'BASE PAX'!C52</f>
        <v>18000</v>
      </c>
      <c r="D77" s="232">
        <f>C77*0.2+C77</f>
        <v>21600</v>
      </c>
      <c r="E77" s="232">
        <f>D77*B77</f>
        <v>0</v>
      </c>
      <c r="F77" s="210">
        <f>B77*C77</f>
        <v>0</v>
      </c>
      <c r="G77" s="200">
        <f t="shared" si="14"/>
        <v>0</v>
      </c>
    </row>
    <row r="78" spans="1:16" ht="20" customHeight="1">
      <c r="A78" s="88" t="str">
        <f>'BASE PAX'!A53</f>
        <v>EXTRAS 1</v>
      </c>
      <c r="B78" s="211">
        <f>'BASE PAX'!B53</f>
        <v>0</v>
      </c>
      <c r="C78" s="212">
        <f>'BASE PAX'!C53</f>
        <v>150000</v>
      </c>
      <c r="D78" s="232">
        <f>C78*0.2+C78</f>
        <v>180000</v>
      </c>
      <c r="E78" s="232">
        <f>D78*B78</f>
        <v>0</v>
      </c>
      <c r="F78" s="210">
        <f>B78*C78</f>
        <v>0</v>
      </c>
      <c r="G78" s="200">
        <f t="shared" si="14"/>
        <v>0</v>
      </c>
    </row>
    <row r="79" spans="1:16" ht="20" customHeight="1" thickBot="1">
      <c r="A79" s="218" t="str">
        <f>'BASE PAX'!A54</f>
        <v>EXTRAS 2</v>
      </c>
      <c r="B79" s="211">
        <f>'BASE PAX'!B54</f>
        <v>0</v>
      </c>
      <c r="C79" s="216">
        <f>'BASE PAX'!C54</f>
        <v>0</v>
      </c>
      <c r="D79" s="233">
        <f>C79*0.2+C79</f>
        <v>0</v>
      </c>
      <c r="E79" s="233">
        <f>D79*B79</f>
        <v>0</v>
      </c>
      <c r="F79" s="217">
        <f>B79*C79</f>
        <v>0</v>
      </c>
      <c r="G79" s="201">
        <f t="shared" si="14"/>
        <v>0</v>
      </c>
    </row>
    <row r="80" spans="1:16" ht="44" customHeight="1" thickBot="1">
      <c r="A80" s="23" t="s">
        <v>89</v>
      </c>
      <c r="B80" s="80"/>
      <c r="C80" s="130"/>
      <c r="D80" s="130"/>
      <c r="E80" s="131">
        <f>SUM(E75:E79)</f>
        <v>0</v>
      </c>
      <c r="F80" s="131">
        <f>SUM(F75:F79)</f>
        <v>0</v>
      </c>
      <c r="G80" s="203">
        <f t="shared" si="14"/>
        <v>0</v>
      </c>
    </row>
    <row r="81" spans="1:16" s="8" customFormat="1" ht="11" customHeight="1" thickBot="1">
      <c r="A81" s="16"/>
      <c r="B81" s="56"/>
      <c r="C81" s="105"/>
      <c r="D81" s="102"/>
      <c r="E81" s="102"/>
      <c r="F81" s="7"/>
      <c r="G81" s="17"/>
      <c r="H81" s="7"/>
      <c r="I81" s="7"/>
      <c r="J81" s="7"/>
      <c r="K81" s="7"/>
      <c r="L81" s="7"/>
      <c r="M81" s="7"/>
      <c r="N81" s="7"/>
      <c r="O81" s="7"/>
      <c r="P81" s="7"/>
    </row>
    <row r="82" spans="1:16" s="9" customFormat="1" ht="42" customHeight="1" thickBot="1">
      <c r="A82" s="246" t="s">
        <v>117</v>
      </c>
      <c r="B82" s="247" t="s">
        <v>52</v>
      </c>
      <c r="C82" s="248" t="s">
        <v>53</v>
      </c>
      <c r="D82" s="249" t="s">
        <v>54</v>
      </c>
      <c r="E82" s="249" t="s">
        <v>55</v>
      </c>
      <c r="F82" s="248" t="s">
        <v>162</v>
      </c>
      <c r="G82" s="147" t="s">
        <v>159</v>
      </c>
    </row>
    <row r="83" spans="1:16" ht="20" customHeight="1">
      <c r="A83" s="81" t="str">
        <f>'BASE PAX'!A58</f>
        <v>WS INSTRUCTOR</v>
      </c>
      <c r="B83" s="238">
        <f>'BASE PAX'!B58</f>
        <v>0</v>
      </c>
      <c r="C83" s="239">
        <f>'BASE PAX'!C58</f>
        <v>3415000</v>
      </c>
      <c r="D83" s="240">
        <f>(C83*0.15)+C83</f>
        <v>3927250</v>
      </c>
      <c r="E83" s="240">
        <f>D83*B83</f>
        <v>0</v>
      </c>
      <c r="F83" s="234">
        <f>B83*C83</f>
        <v>0</v>
      </c>
      <c r="G83" s="199">
        <f>E83-F83</f>
        <v>0</v>
      </c>
    </row>
    <row r="84" spans="1:16" ht="20" customHeight="1">
      <c r="A84" s="81" t="str">
        <f>'BASE PAX'!A59</f>
        <v>PRODUCER FEE</v>
      </c>
      <c r="B84" s="235">
        <f>'BASE PAX'!B59</f>
        <v>0</v>
      </c>
      <c r="C84" s="236">
        <f>'BASE PAX'!C59</f>
        <v>180000</v>
      </c>
      <c r="D84" s="237">
        <f>(C84*0.15)+C84</f>
        <v>207000</v>
      </c>
      <c r="E84" s="237">
        <f>D84*B84</f>
        <v>0</v>
      </c>
      <c r="F84" s="234">
        <f>B84*C84</f>
        <v>0</v>
      </c>
      <c r="G84" s="200">
        <f>E84-F84</f>
        <v>0</v>
      </c>
    </row>
    <row r="85" spans="1:16" ht="20" customHeight="1" thickBot="1">
      <c r="A85" s="241">
        <f>'BASE PAX'!A60</f>
        <v>0</v>
      </c>
      <c r="B85" s="242">
        <f>'BASE PAX'!B60</f>
        <v>0</v>
      </c>
      <c r="C85" s="243">
        <f>'BASE PAX'!C60</f>
        <v>20000</v>
      </c>
      <c r="D85" s="244">
        <f>(C85*0.15)+C85</f>
        <v>23000</v>
      </c>
      <c r="E85" s="244">
        <f>D85*B85</f>
        <v>0</v>
      </c>
      <c r="F85" s="245">
        <f>B85*C85</f>
        <v>0</v>
      </c>
      <c r="G85" s="201">
        <f>E85-F85</f>
        <v>0</v>
      </c>
    </row>
    <row r="86" spans="1:16" ht="41" customHeight="1" thickBot="1">
      <c r="A86" s="24" t="s">
        <v>163</v>
      </c>
      <c r="B86" s="82"/>
      <c r="C86" s="132"/>
      <c r="D86" s="132"/>
      <c r="E86" s="133">
        <f>SUM(E83:E85)</f>
        <v>0</v>
      </c>
      <c r="F86" s="133">
        <f>SUM(F81:F85)</f>
        <v>0</v>
      </c>
      <c r="G86" s="203">
        <f>E86-F86</f>
        <v>0</v>
      </c>
    </row>
    <row r="87" spans="1:16" s="8" customFormat="1" ht="11" customHeight="1" thickBot="1">
      <c r="A87" s="16"/>
      <c r="B87" s="56"/>
      <c r="C87" s="105"/>
      <c r="D87" s="102"/>
      <c r="E87" s="102"/>
      <c r="F87" s="7"/>
      <c r="G87" s="17"/>
      <c r="H87" s="7"/>
      <c r="I87" s="7"/>
      <c r="J87" s="7"/>
      <c r="K87" s="7"/>
      <c r="L87" s="7"/>
      <c r="M87" s="7"/>
      <c r="N87" s="7"/>
      <c r="O87" s="7"/>
      <c r="P87" s="7"/>
    </row>
    <row r="88" spans="1:16" ht="38" customHeight="1" thickBot="1">
      <c r="A88" s="258" t="s">
        <v>164</v>
      </c>
      <c r="B88" s="259" t="s">
        <v>92</v>
      </c>
      <c r="C88" s="250" t="s">
        <v>53</v>
      </c>
      <c r="D88" s="260" t="s">
        <v>54</v>
      </c>
      <c r="E88" s="260" t="s">
        <v>55</v>
      </c>
      <c r="F88" s="250"/>
      <c r="G88" s="147" t="s">
        <v>159</v>
      </c>
    </row>
    <row r="89" spans="1:16" ht="20" customHeight="1">
      <c r="A89" s="255" t="str">
        <f>'BASE PAX'!A64</f>
        <v>COORDENAÇÃO PRODUÇÃO</v>
      </c>
      <c r="B89" s="256">
        <f>'BASE PAX'!B64</f>
        <v>0</v>
      </c>
      <c r="C89" s="257">
        <f>'BASE PAX'!C64</f>
        <v>50000</v>
      </c>
      <c r="D89" s="257">
        <f>'BASE PAX'!D64</f>
        <v>0</v>
      </c>
      <c r="E89" s="121">
        <f>D89*B89</f>
        <v>0</v>
      </c>
      <c r="F89" s="257"/>
      <c r="G89" s="199">
        <f t="shared" ref="G89:G94" si="15">E89*0.2</f>
        <v>0</v>
      </c>
    </row>
    <row r="90" spans="1:16" ht="20" customHeight="1">
      <c r="A90" s="251" t="str">
        <f>'BASE PAX'!A65</f>
        <v>EXTRA MÃO DE OBRA</v>
      </c>
      <c r="B90" s="256">
        <f>'BASE PAX'!B65</f>
        <v>0</v>
      </c>
      <c r="C90" s="253">
        <f>'BASE PAX'!C65</f>
        <v>50000</v>
      </c>
      <c r="D90" s="253">
        <f>'BASE PAX'!D65</f>
        <v>0</v>
      </c>
      <c r="E90" s="121">
        <f t="shared" ref="E90:E94" si="16">D90*B90</f>
        <v>0</v>
      </c>
      <c r="F90" s="253"/>
      <c r="G90" s="199">
        <f t="shared" si="15"/>
        <v>0</v>
      </c>
    </row>
    <row r="91" spans="1:16" ht="20" customHeight="1">
      <c r="A91" s="251" t="str">
        <f>'BASE PAX'!A66</f>
        <v>TAXA LIMPEZA CHECK IN / CHECKOUT</v>
      </c>
      <c r="B91" s="252">
        <f>'BASE PAX'!B66</f>
        <v>0</v>
      </c>
      <c r="C91" s="253">
        <f>'BASE PAX'!C66</f>
        <v>40000</v>
      </c>
      <c r="D91" s="253">
        <f>'BASE PAX'!D66</f>
        <v>0</v>
      </c>
      <c r="E91" s="121">
        <f t="shared" si="16"/>
        <v>0</v>
      </c>
      <c r="F91" s="253"/>
      <c r="G91" s="199">
        <f t="shared" si="15"/>
        <v>0</v>
      </c>
    </row>
    <row r="92" spans="1:16" ht="20" customHeight="1">
      <c r="A92" s="251" t="str">
        <f>'BASE PAX'!A67</f>
        <v>TAXA LIMPEZA DIARIA</v>
      </c>
      <c r="B92" s="254">
        <f>'BASE PAX'!B67</f>
        <v>0</v>
      </c>
      <c r="C92" s="253">
        <f>'BASE PAX'!C67</f>
        <v>30000</v>
      </c>
      <c r="D92" s="253">
        <f>'BASE PAX'!D67</f>
        <v>0</v>
      </c>
      <c r="E92" s="121">
        <f t="shared" si="16"/>
        <v>0</v>
      </c>
      <c r="F92" s="253"/>
      <c r="G92" s="199">
        <f t="shared" si="15"/>
        <v>0</v>
      </c>
    </row>
    <row r="93" spans="1:16" ht="20" customHeight="1">
      <c r="A93" s="251" t="str">
        <f>'BASE PAX'!A68</f>
        <v>SOUVENIR</v>
      </c>
      <c r="B93" s="252">
        <f>'BASE PAX'!B68</f>
        <v>0</v>
      </c>
      <c r="C93" s="253">
        <f>'BASE PAX'!C68</f>
        <v>15000</v>
      </c>
      <c r="D93" s="253">
        <f>'BASE PAX'!D68</f>
        <v>0</v>
      </c>
      <c r="E93" s="121">
        <f t="shared" si="16"/>
        <v>0</v>
      </c>
      <c r="F93" s="253"/>
      <c r="G93" s="199">
        <f t="shared" si="15"/>
        <v>0</v>
      </c>
    </row>
    <row r="94" spans="1:16" ht="20" customHeight="1" thickBot="1">
      <c r="A94" s="251" t="str">
        <f>'BASE PAX'!A69</f>
        <v>ASSISTENTE COORDENAÇÃO</v>
      </c>
      <c r="B94" s="256">
        <f>'BASE PAX'!B69</f>
        <v>0</v>
      </c>
      <c r="C94" s="253">
        <f>'BASE PAX'!C69</f>
        <v>30000</v>
      </c>
      <c r="D94" s="253">
        <f>'BASE PAX'!D69</f>
        <v>0</v>
      </c>
      <c r="E94" s="121">
        <f t="shared" si="16"/>
        <v>0</v>
      </c>
      <c r="F94" s="253"/>
      <c r="G94" s="199">
        <f t="shared" si="15"/>
        <v>0</v>
      </c>
    </row>
    <row r="95" spans="1:16" ht="41" customHeight="1" thickBot="1">
      <c r="A95" s="25" t="s">
        <v>101</v>
      </c>
      <c r="B95" s="83"/>
      <c r="C95" s="134"/>
      <c r="D95" s="134"/>
      <c r="E95" s="135">
        <f>SUM(E89:E94)</f>
        <v>0</v>
      </c>
      <c r="F95" s="135"/>
      <c r="G95" s="203">
        <f>SUM(G89:G94)</f>
        <v>0</v>
      </c>
    </row>
    <row r="96" spans="1:16" s="8" customFormat="1" ht="11" customHeight="1" thickBot="1">
      <c r="A96" s="16"/>
      <c r="B96" s="56"/>
      <c r="C96" s="105"/>
      <c r="D96" s="102"/>
      <c r="E96" s="102"/>
      <c r="F96" s="7"/>
      <c r="G96" s="17"/>
      <c r="H96" s="7"/>
      <c r="I96" s="7"/>
      <c r="J96" s="7"/>
      <c r="K96" s="7"/>
      <c r="L96" s="7"/>
      <c r="M96" s="7"/>
      <c r="N96" s="7"/>
      <c r="O96" s="7"/>
      <c r="P96" s="7"/>
    </row>
    <row r="97" spans="1:16" ht="38" customHeight="1" thickBot="1">
      <c r="A97" s="26" t="s">
        <v>165</v>
      </c>
      <c r="B97" s="27" t="s">
        <v>92</v>
      </c>
      <c r="C97" s="136" t="s">
        <v>53</v>
      </c>
      <c r="D97" s="136" t="s">
        <v>54</v>
      </c>
      <c r="E97" s="137" t="s">
        <v>55</v>
      </c>
      <c r="F97" s="20"/>
      <c r="G97" s="20"/>
    </row>
    <row r="98" spans="1:16" ht="23" customHeight="1" thickBot="1">
      <c r="A98" s="84" t="str">
        <f>'BASE PAX'!A73</f>
        <v xml:space="preserve">QUINCHO DAY USE / CABIN </v>
      </c>
      <c r="B98" s="85">
        <f>'BASE PAX'!B73</f>
        <v>0</v>
      </c>
      <c r="C98" s="138">
        <f>'BASE PAX'!C73</f>
        <v>15000</v>
      </c>
      <c r="D98" s="138">
        <f>C98+(C98*0.2)</f>
        <v>18000</v>
      </c>
      <c r="E98" s="139">
        <f>D98*B98</f>
        <v>0</v>
      </c>
      <c r="F98" s="19"/>
      <c r="G98" s="17"/>
    </row>
    <row r="99" spans="1:16" ht="42" customHeight="1" thickBot="1">
      <c r="A99" s="26" t="s">
        <v>104</v>
      </c>
      <c r="B99" s="86"/>
      <c r="C99" s="140"/>
      <c r="D99" s="140"/>
      <c r="E99" s="141">
        <f>E98</f>
        <v>0</v>
      </c>
    </row>
    <row r="100" spans="1:16" s="6" customFormat="1" ht="20" customHeight="1">
      <c r="A100" s="28"/>
      <c r="B100" s="52"/>
      <c r="C100" s="11"/>
      <c r="D100" s="11"/>
      <c r="E100" s="11"/>
      <c r="F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9" customHeight="1"/>
  </sheetData>
  <sheetProtection sheet="1" objects="1" scenarios="1"/>
  <mergeCells count="17">
    <mergeCell ref="A11:A12"/>
    <mergeCell ref="A28:D28"/>
    <mergeCell ref="B5:C5"/>
    <mergeCell ref="F20:F21"/>
    <mergeCell ref="B11:B12"/>
    <mergeCell ref="D11:D12"/>
    <mergeCell ref="B9:C9"/>
    <mergeCell ref="D9:E9"/>
    <mergeCell ref="B8:C8"/>
    <mergeCell ref="D8:E8"/>
    <mergeCell ref="D6:E6"/>
    <mergeCell ref="B6:C6"/>
    <mergeCell ref="I11:K11"/>
    <mergeCell ref="D7:E7"/>
    <mergeCell ref="B7:C7"/>
    <mergeCell ref="F11:G13"/>
    <mergeCell ref="G20:G21"/>
  </mergeCells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A1:P101"/>
  <sheetViews>
    <sheetView topLeftCell="A75" zoomScale="120" zoomScaleNormal="120" workbookViewId="0">
      <selection activeCell="C92" sqref="C92"/>
    </sheetView>
  </sheetViews>
  <sheetFormatPr baseColWidth="10" defaultColWidth="11" defaultRowHeight="17"/>
  <cols>
    <col min="1" max="1" width="48.796875" style="7" customWidth="1"/>
    <col min="2" max="2" width="23.796875" style="52" customWidth="1"/>
    <col min="3" max="3" width="24" style="7" customWidth="1"/>
    <col min="4" max="4" width="22.796875" style="12" customWidth="1"/>
    <col min="5" max="5" width="22.19921875" style="11" customWidth="1"/>
    <col min="6" max="6" width="31.3984375" style="7" customWidth="1"/>
    <col min="7" max="7" width="31.3984375" style="6" customWidth="1"/>
    <col min="8" max="8" width="32.3984375" style="7" customWidth="1"/>
    <col min="9" max="9" width="23.59765625" style="7" customWidth="1"/>
    <col min="10" max="10" width="25.19921875" style="7" customWidth="1"/>
    <col min="11" max="11" width="28.796875" style="7" customWidth="1"/>
    <col min="12" max="12" width="36.19921875" style="7" customWidth="1"/>
    <col min="13" max="28" width="11" style="7" customWidth="1"/>
    <col min="29" max="16384" width="11" style="7"/>
  </cols>
  <sheetData>
    <row r="1" spans="1:16" ht="22" hidden="1" customHeight="1" thickBot="1"/>
    <row r="2" spans="1:16" ht="7" customHeight="1">
      <c r="D2" s="13"/>
    </row>
    <row r="3" spans="1:16" s="10" customFormat="1" ht="1" customHeight="1">
      <c r="A3" s="14"/>
      <c r="B3" s="53"/>
      <c r="C3" s="15" t="s">
        <v>11</v>
      </c>
      <c r="D3" s="15"/>
      <c r="E3" s="15"/>
      <c r="G3" s="9"/>
    </row>
    <row r="4" spans="1:16" s="10" customFormat="1" ht="19" customHeight="1">
      <c r="A4" s="14"/>
      <c r="B4" s="53"/>
      <c r="C4" s="15"/>
      <c r="D4" s="15"/>
      <c r="E4" s="15"/>
      <c r="G4" s="9"/>
    </row>
    <row r="5" spans="1:16" s="10" customFormat="1" ht="50" customHeight="1">
      <c r="A5" s="54" t="s">
        <v>129</v>
      </c>
      <c r="B5" s="674">
        <v>1</v>
      </c>
      <c r="C5" s="675"/>
      <c r="D5" s="277"/>
      <c r="E5" s="277" t="s">
        <v>13</v>
      </c>
      <c r="F5" s="278"/>
      <c r="G5" s="9"/>
    </row>
    <row r="6" spans="1:16" s="8" customFormat="1" ht="37" customHeight="1">
      <c r="A6" s="54" t="s">
        <v>130</v>
      </c>
      <c r="B6" s="683">
        <v>0</v>
      </c>
      <c r="C6" s="684"/>
      <c r="D6" s="682" t="s">
        <v>131</v>
      </c>
      <c r="E6" s="661"/>
      <c r="F6" s="106">
        <f>D21</f>
        <v>0</v>
      </c>
      <c r="G6" s="9"/>
      <c r="H6" s="10"/>
    </row>
    <row r="7" spans="1:16" s="8" customFormat="1" ht="33" customHeight="1">
      <c r="A7" s="55" t="s">
        <v>132</v>
      </c>
      <c r="B7" s="662">
        <f>CALENDAR!C2</f>
        <v>0</v>
      </c>
      <c r="C7" s="661"/>
      <c r="D7" s="660" t="s">
        <v>133</v>
      </c>
      <c r="E7" s="661"/>
      <c r="F7" s="107">
        <f>SUM(F12:F20)</f>
        <v>0</v>
      </c>
      <c r="G7" s="9"/>
      <c r="H7" s="10"/>
    </row>
    <row r="8" spans="1:16" s="8" customFormat="1" ht="31" customHeight="1">
      <c r="A8" s="54" t="s">
        <v>134</v>
      </c>
      <c r="B8" s="680">
        <f>CALENDAR!C3</f>
        <v>0</v>
      </c>
      <c r="C8" s="661"/>
      <c r="D8" s="681" t="s">
        <v>135</v>
      </c>
      <c r="E8" s="661"/>
      <c r="F8" s="108">
        <f>F6-F7</f>
        <v>0</v>
      </c>
      <c r="G8" s="9"/>
      <c r="H8" s="10"/>
    </row>
    <row r="9" spans="1:16" s="8" customFormat="1" ht="32" customHeight="1">
      <c r="A9" s="55" t="s">
        <v>136</v>
      </c>
      <c r="B9" s="678">
        <f>CALENDAR!J2</f>
        <v>0</v>
      </c>
      <c r="C9" s="661"/>
      <c r="D9" s="679" t="s">
        <v>137</v>
      </c>
      <c r="E9" s="661"/>
      <c r="F9" s="1"/>
      <c r="G9" s="9"/>
      <c r="H9" s="10"/>
    </row>
    <row r="10" spans="1:16" s="8" customFormat="1" ht="30" customHeight="1" thickBot="1">
      <c r="A10" s="16"/>
      <c r="B10" s="56"/>
      <c r="C10" s="6"/>
      <c r="D10" s="7"/>
      <c r="E10" s="7"/>
      <c r="F10" s="7"/>
      <c r="G10" s="17"/>
      <c r="H10" s="7"/>
      <c r="I10" s="7"/>
      <c r="J10" s="7"/>
      <c r="K10" s="7"/>
      <c r="L10" s="7"/>
      <c r="M10" s="7"/>
      <c r="N10" s="7"/>
      <c r="O10" s="7"/>
      <c r="P10" s="7"/>
    </row>
    <row r="11" spans="1:16" s="6" customFormat="1" ht="44" customHeight="1" thickBot="1">
      <c r="A11" s="671" t="s">
        <v>138</v>
      </c>
      <c r="B11" s="677" t="s">
        <v>139</v>
      </c>
      <c r="C11" s="57" t="s">
        <v>140</v>
      </c>
      <c r="D11" s="677" t="s">
        <v>141</v>
      </c>
      <c r="E11" s="7"/>
      <c r="F11" s="738" t="str">
        <f>E5</f>
        <v>CHAITEN</v>
      </c>
      <c r="G11" s="664"/>
      <c r="H11" s="7"/>
      <c r="I11" s="658" t="s">
        <v>142</v>
      </c>
      <c r="J11" s="659"/>
      <c r="K11" s="659"/>
      <c r="L11" s="7"/>
      <c r="M11" s="7"/>
      <c r="N11" s="7"/>
      <c r="O11" s="7"/>
      <c r="P11" s="7"/>
    </row>
    <row r="12" spans="1:16" s="6" customFormat="1" ht="32" customHeight="1">
      <c r="A12" s="659"/>
      <c r="B12" s="659"/>
      <c r="C12" s="58">
        <v>0.05</v>
      </c>
      <c r="D12" s="659"/>
      <c r="E12" s="7"/>
      <c r="F12" s="665"/>
      <c r="G12" s="666"/>
      <c r="H12" s="7"/>
      <c r="I12" s="59" t="s">
        <v>126</v>
      </c>
      <c r="J12" s="60" t="s">
        <v>143</v>
      </c>
      <c r="K12" s="60" t="s">
        <v>144</v>
      </c>
      <c r="L12" s="7"/>
      <c r="M12" s="7"/>
      <c r="N12" s="7"/>
      <c r="O12" s="7"/>
      <c r="P12" s="7"/>
    </row>
    <row r="13" spans="1:16" ht="22" customHeight="1" thickBot="1">
      <c r="A13" s="61" t="s">
        <v>15</v>
      </c>
      <c r="B13" s="109">
        <f>G28</f>
        <v>0</v>
      </c>
      <c r="C13" s="109">
        <f t="shared" ref="C13:C20" si="0">B13*$C$12</f>
        <v>0</v>
      </c>
      <c r="D13" s="109">
        <f t="shared" ref="D13:D20" si="1">B13+(B13*$C$12)</f>
        <v>0</v>
      </c>
      <c r="E13" s="7"/>
      <c r="F13" s="667"/>
      <c r="G13" s="668"/>
      <c r="I13" s="3"/>
      <c r="J13" s="4"/>
      <c r="K13" s="5"/>
    </row>
    <row r="14" spans="1:16" s="6" customFormat="1" ht="20" customHeight="1">
      <c r="A14" s="62" t="s">
        <v>16</v>
      </c>
      <c r="B14" s="110">
        <f>J49</f>
        <v>0</v>
      </c>
      <c r="C14" s="110">
        <f t="shared" si="0"/>
        <v>0</v>
      </c>
      <c r="D14" s="110">
        <f t="shared" si="1"/>
        <v>0</v>
      </c>
      <c r="E14" s="7"/>
      <c r="F14" s="271" t="str">
        <f t="shared" ref="F14:F19" si="2">A14</f>
        <v>2.FOOD</v>
      </c>
      <c r="G14" s="261">
        <f>G49</f>
        <v>0</v>
      </c>
      <c r="H14" s="7"/>
      <c r="I14" s="3"/>
      <c r="J14" s="4"/>
      <c r="K14" s="5"/>
      <c r="L14" s="7"/>
      <c r="M14" s="7"/>
      <c r="N14" s="7"/>
      <c r="O14" s="7"/>
      <c r="P14" s="7"/>
    </row>
    <row r="15" spans="1:16" s="6" customFormat="1" ht="20" customHeight="1">
      <c r="A15" s="63" t="s">
        <v>17</v>
      </c>
      <c r="B15" s="111">
        <f>E59</f>
        <v>0</v>
      </c>
      <c r="C15" s="111">
        <f t="shared" si="0"/>
        <v>0</v>
      </c>
      <c r="D15" s="111">
        <f t="shared" si="1"/>
        <v>0</v>
      </c>
      <c r="E15" s="7"/>
      <c r="F15" s="272" t="str">
        <f t="shared" si="2"/>
        <v>3.DRINKS</v>
      </c>
      <c r="G15" s="262">
        <f>G59</f>
        <v>0</v>
      </c>
      <c r="H15" s="7"/>
      <c r="I15" s="3"/>
      <c r="J15" s="4"/>
      <c r="K15" s="5"/>
      <c r="L15" s="7"/>
      <c r="M15" s="7"/>
      <c r="N15" s="7"/>
      <c r="O15" s="7"/>
      <c r="P15" s="7"/>
    </row>
    <row r="16" spans="1:16" s="6" customFormat="1" ht="20" customHeight="1">
      <c r="A16" s="55" t="s">
        <v>18</v>
      </c>
      <c r="B16" s="112">
        <f>$E$72</f>
        <v>0</v>
      </c>
      <c r="C16" s="112">
        <f t="shared" si="0"/>
        <v>0</v>
      </c>
      <c r="D16" s="112">
        <f t="shared" si="1"/>
        <v>0</v>
      </c>
      <c r="E16" s="7"/>
      <c r="F16" s="273" t="str">
        <f t="shared" si="2"/>
        <v>4. ACTIVITIES</v>
      </c>
      <c r="G16" s="263">
        <f>G72</f>
        <v>0</v>
      </c>
      <c r="H16" s="7"/>
      <c r="I16" s="3"/>
      <c r="J16" s="4"/>
      <c r="K16" s="5"/>
      <c r="L16" s="7"/>
      <c r="M16" s="7"/>
      <c r="N16" s="7"/>
      <c r="O16" s="7"/>
      <c r="P16" s="7"/>
    </row>
    <row r="17" spans="1:16" s="6" customFormat="1" ht="20" customHeight="1">
      <c r="A17" s="63" t="s">
        <v>19</v>
      </c>
      <c r="B17" s="111">
        <f>$E$80</f>
        <v>0</v>
      </c>
      <c r="C17" s="111">
        <f t="shared" si="0"/>
        <v>0</v>
      </c>
      <c r="D17" s="111">
        <f t="shared" si="1"/>
        <v>0</v>
      </c>
      <c r="E17" s="7"/>
      <c r="F17" s="274" t="str">
        <f t="shared" si="2"/>
        <v>5.TRANSPORT</v>
      </c>
      <c r="G17" s="174">
        <f>G80</f>
        <v>0</v>
      </c>
      <c r="H17" s="7"/>
      <c r="I17" s="3"/>
      <c r="J17" s="4"/>
      <c r="K17" s="5"/>
      <c r="L17" s="7"/>
      <c r="M17" s="7"/>
      <c r="N17" s="7"/>
      <c r="O17" s="7"/>
      <c r="P17" s="7"/>
    </row>
    <row r="18" spans="1:16" s="6" customFormat="1" ht="20" customHeight="1">
      <c r="A18" s="64" t="s">
        <v>20</v>
      </c>
      <c r="B18" s="113">
        <f>$E$86</f>
        <v>0</v>
      </c>
      <c r="C18" s="113">
        <f t="shared" si="0"/>
        <v>0</v>
      </c>
      <c r="D18" s="113">
        <f t="shared" si="1"/>
        <v>0</v>
      </c>
      <c r="E18" s="10"/>
      <c r="F18" s="275" t="str">
        <f t="shared" si="2"/>
        <v>6.EXPERIENCES</v>
      </c>
      <c r="G18" s="264">
        <f>G86</f>
        <v>0</v>
      </c>
      <c r="H18" s="7"/>
      <c r="I18" s="3"/>
      <c r="J18" s="4"/>
      <c r="K18" s="5"/>
      <c r="L18" s="7"/>
      <c r="M18" s="7"/>
      <c r="N18" s="7"/>
      <c r="O18" s="7"/>
      <c r="P18" s="7"/>
    </row>
    <row r="19" spans="1:16" s="6" customFormat="1" ht="20" customHeight="1">
      <c r="A19" s="65" t="s">
        <v>21</v>
      </c>
      <c r="B19" s="114">
        <f>$E$95</f>
        <v>0</v>
      </c>
      <c r="C19" s="114">
        <f t="shared" si="0"/>
        <v>0</v>
      </c>
      <c r="D19" s="114">
        <f t="shared" si="1"/>
        <v>0</v>
      </c>
      <c r="E19" s="7"/>
      <c r="F19" s="276" t="str">
        <f t="shared" si="2"/>
        <v>7.EXTRAS</v>
      </c>
      <c r="G19" s="151">
        <f>G95</f>
        <v>0</v>
      </c>
      <c r="H19" s="7"/>
      <c r="I19" s="3"/>
      <c r="J19" s="4"/>
      <c r="K19" s="5"/>
      <c r="L19" s="7"/>
      <c r="M19" s="7"/>
      <c r="N19" s="7"/>
      <c r="O19" s="7"/>
      <c r="P19" s="7"/>
    </row>
    <row r="20" spans="1:16" s="6" customFormat="1" ht="20" customHeight="1" thickBot="1">
      <c r="A20" s="66" t="s">
        <v>22</v>
      </c>
      <c r="B20" s="115">
        <f>$E$99</f>
        <v>0</v>
      </c>
      <c r="C20" s="115">
        <f t="shared" si="0"/>
        <v>0</v>
      </c>
      <c r="D20" s="115">
        <f t="shared" si="1"/>
        <v>0</v>
      </c>
      <c r="E20" s="7"/>
      <c r="F20" s="676" t="s">
        <v>145</v>
      </c>
      <c r="G20" s="669">
        <f>G14+G15+G16+G17+G18+G19</f>
        <v>0</v>
      </c>
      <c r="H20" s="7"/>
      <c r="I20" s="3"/>
      <c r="J20" s="4"/>
      <c r="K20" s="5"/>
      <c r="L20" s="7"/>
      <c r="M20" s="7"/>
      <c r="N20" s="7"/>
      <c r="O20" s="7"/>
      <c r="P20" s="7"/>
    </row>
    <row r="21" spans="1:16" ht="35" customHeight="1" thickBot="1">
      <c r="A21" s="67" t="s">
        <v>146</v>
      </c>
      <c r="B21" s="116">
        <f>SUM(B13:B20)</f>
        <v>0</v>
      </c>
      <c r="C21" s="116"/>
      <c r="D21" s="116">
        <f>SUM(D13:D20)</f>
        <v>0</v>
      </c>
      <c r="E21" s="51"/>
      <c r="F21" s="670"/>
      <c r="G21" s="670"/>
    </row>
    <row r="22" spans="1:16" s="8" customFormat="1" ht="11" customHeight="1" thickBot="1">
      <c r="A22" s="16"/>
      <c r="B22" s="56"/>
      <c r="C22" s="6"/>
      <c r="D22" s="7"/>
      <c r="E22" s="7"/>
      <c r="F22" s="7"/>
      <c r="G22" s="17"/>
      <c r="H22" s="7"/>
      <c r="I22" s="7"/>
      <c r="J22" s="7"/>
      <c r="K22" s="7"/>
      <c r="L22" s="7"/>
      <c r="M22" s="7"/>
      <c r="N22" s="7"/>
      <c r="O22" s="7"/>
      <c r="P22" s="7"/>
    </row>
    <row r="23" spans="1:16" ht="44" customHeight="1" thickBot="1">
      <c r="A23" s="68" t="s">
        <v>114</v>
      </c>
      <c r="B23" s="69" t="s">
        <v>52</v>
      </c>
      <c r="C23" s="69" t="s">
        <v>147</v>
      </c>
      <c r="D23" s="69" t="s">
        <v>148</v>
      </c>
      <c r="E23" s="70" t="s">
        <v>149</v>
      </c>
      <c r="F23" s="70" t="s">
        <v>150</v>
      </c>
      <c r="G23" s="70" t="s">
        <v>151</v>
      </c>
    </row>
    <row r="24" spans="1:16" ht="20" customHeight="1">
      <c r="A24" s="71" t="s">
        <v>170</v>
      </c>
      <c r="B24" s="93">
        <v>1</v>
      </c>
      <c r="C24" s="117">
        <f>288190.9</f>
        <v>288190.90000000002</v>
      </c>
      <c r="D24" s="118"/>
      <c r="E24" s="119">
        <f>(C24+D24)*$B$9*B24</f>
        <v>0</v>
      </c>
      <c r="F24" s="2">
        <v>0</v>
      </c>
      <c r="G24" s="119">
        <f>E24-(E24*F24)</f>
        <v>0</v>
      </c>
    </row>
    <row r="25" spans="1:16" ht="20" customHeight="1">
      <c r="A25" s="71" t="s">
        <v>171</v>
      </c>
      <c r="B25" s="93">
        <v>0</v>
      </c>
      <c r="C25" s="117">
        <f>288190.9</f>
        <v>288190.90000000002</v>
      </c>
      <c r="D25" s="118">
        <v>50000</v>
      </c>
      <c r="E25" s="119">
        <f>(C25+D25)*$B$9*B25</f>
        <v>0</v>
      </c>
      <c r="F25" s="2">
        <v>0</v>
      </c>
      <c r="G25" s="119">
        <f>E25-(E25*F25)</f>
        <v>0</v>
      </c>
    </row>
    <row r="26" spans="1:16" ht="20" customHeight="1">
      <c r="A26" s="71" t="s">
        <v>172</v>
      </c>
      <c r="B26" s="93">
        <v>0</v>
      </c>
      <c r="C26" s="117">
        <f>259371.81</f>
        <v>259371.81</v>
      </c>
      <c r="D26" s="118"/>
      <c r="E26" s="119">
        <f>(C26+D26)*$B$9*B26</f>
        <v>0</v>
      </c>
      <c r="F26" s="2">
        <v>0</v>
      </c>
      <c r="G26" s="119">
        <f>E26-(E26*F26)</f>
        <v>0</v>
      </c>
    </row>
    <row r="27" spans="1:16" ht="20" customHeight="1" thickBot="1">
      <c r="A27" s="71" t="s">
        <v>173</v>
      </c>
      <c r="B27" s="93">
        <v>0</v>
      </c>
      <c r="C27" s="117">
        <f>259371.81</f>
        <v>259371.81</v>
      </c>
      <c r="D27" s="118">
        <v>50000</v>
      </c>
      <c r="E27" s="119">
        <f>(C27+D27)*$B$9*B27</f>
        <v>0</v>
      </c>
      <c r="F27" s="2">
        <v>0</v>
      </c>
      <c r="G27" s="119">
        <f>E27-(E27*F27)</f>
        <v>0</v>
      </c>
    </row>
    <row r="28" spans="1:16" ht="29" customHeight="1" thickBot="1">
      <c r="A28" s="672" t="s">
        <v>156</v>
      </c>
      <c r="B28" s="673"/>
      <c r="C28" s="673"/>
      <c r="D28" s="673"/>
      <c r="E28" s="72"/>
      <c r="F28" s="73"/>
      <c r="G28" s="120">
        <f>SUM(G24:G27)</f>
        <v>0</v>
      </c>
    </row>
    <row r="29" spans="1:16" s="8" customFormat="1" ht="11" customHeight="1" thickBot="1">
      <c r="A29" s="16"/>
      <c r="B29" s="56"/>
      <c r="C29" s="6"/>
      <c r="D29" s="7"/>
      <c r="E29" s="7"/>
      <c r="F29" s="7"/>
      <c r="G29" s="17"/>
      <c r="H29" s="7"/>
      <c r="I29" s="286"/>
      <c r="J29" s="7"/>
      <c r="K29" s="7"/>
      <c r="L29" s="7"/>
      <c r="M29" s="7"/>
      <c r="N29" s="7"/>
      <c r="O29" s="7"/>
      <c r="P29" s="7"/>
    </row>
    <row r="30" spans="1:16" s="10" customFormat="1" ht="40" customHeight="1" thickBot="1">
      <c r="A30" s="18" t="s">
        <v>51</v>
      </c>
      <c r="B30" s="159" t="s">
        <v>52</v>
      </c>
      <c r="C30" s="160" t="s">
        <v>53</v>
      </c>
      <c r="D30" s="153" t="s">
        <v>54</v>
      </c>
      <c r="E30" s="149" t="s">
        <v>157</v>
      </c>
      <c r="F30" s="103" t="s">
        <v>158</v>
      </c>
      <c r="G30" s="147" t="s">
        <v>159</v>
      </c>
      <c r="I30" s="286"/>
    </row>
    <row r="31" spans="1:16" ht="20" customHeight="1" thickBot="1">
      <c r="A31" s="154" t="str">
        <f>'BASE PAX'!A6</f>
        <v>BREAKFAST</v>
      </c>
      <c r="B31" s="285">
        <f>(B5*B9*'BASE PAX'!G6)+('BASE PAX'!H6*B6*B9)</f>
        <v>0</v>
      </c>
      <c r="C31" s="121"/>
      <c r="D31" s="144"/>
      <c r="E31" s="283">
        <v>0</v>
      </c>
      <c r="F31" s="122">
        <f t="shared" ref="F31:F46" si="3">B31*C31</f>
        <v>0</v>
      </c>
      <c r="G31" s="325">
        <f>0.2*B31</f>
        <v>0</v>
      </c>
      <c r="H31" s="351" t="str">
        <f>A31</f>
        <v>BREAKFAST</v>
      </c>
      <c r="I31" s="353">
        <f>B31</f>
        <v>0</v>
      </c>
    </row>
    <row r="32" spans="1:16" ht="20" customHeight="1">
      <c r="A32" s="155" t="str">
        <f>'BASE PAX'!A7</f>
        <v>LUNCH 1</v>
      </c>
      <c r="B32" s="74">
        <f>($B$5+$B$6)*'BASE PAX'!B7</f>
        <v>0</v>
      </c>
      <c r="C32" s="123">
        <f>'BASE PAX'!C7</f>
        <v>40000</v>
      </c>
      <c r="D32" s="125">
        <f>'BASE PAX'!D7</f>
        <v>48000</v>
      </c>
      <c r="E32" s="151">
        <f t="shared" ref="E32:E46" si="4">D32*B32</f>
        <v>0</v>
      </c>
      <c r="F32" s="124">
        <f t="shared" si="3"/>
        <v>0</v>
      </c>
      <c r="G32" s="146">
        <f t="shared" ref="G32:G46" si="5">E32-F32</f>
        <v>0</v>
      </c>
      <c r="I32" s="290"/>
    </row>
    <row r="33" spans="1:11" ht="20" customHeight="1">
      <c r="A33" s="155" t="str">
        <f>'BASE PAX'!A8</f>
        <v>LUNCH 2</v>
      </c>
      <c r="B33" s="74">
        <f>($B$5+$B$6)*'BASE PAX'!B8</f>
        <v>0</v>
      </c>
      <c r="C33" s="123">
        <f>'BASE PAX'!C8</f>
        <v>40000</v>
      </c>
      <c r="D33" s="125">
        <f>'BASE PAX'!D8</f>
        <v>48000</v>
      </c>
      <c r="E33" s="151">
        <f t="shared" si="4"/>
        <v>0</v>
      </c>
      <c r="F33" s="124">
        <f t="shared" si="3"/>
        <v>0</v>
      </c>
      <c r="G33" s="146">
        <f t="shared" si="5"/>
        <v>0</v>
      </c>
      <c r="I33" s="290"/>
    </row>
    <row r="34" spans="1:11" ht="20" customHeight="1">
      <c r="A34" s="155" t="str">
        <f>'BASE PAX'!A9</f>
        <v>LUNCH 3</v>
      </c>
      <c r="B34" s="74">
        <f>($B$5+$B$6)*'BASE PAX'!B9</f>
        <v>0</v>
      </c>
      <c r="C34" s="123">
        <f>'BASE PAX'!C9</f>
        <v>40000</v>
      </c>
      <c r="D34" s="125">
        <f>'BASE PAX'!D9</f>
        <v>48000</v>
      </c>
      <c r="E34" s="151">
        <f t="shared" si="4"/>
        <v>0</v>
      </c>
      <c r="F34" s="124">
        <f t="shared" si="3"/>
        <v>0</v>
      </c>
      <c r="G34" s="146">
        <f t="shared" si="5"/>
        <v>0</v>
      </c>
      <c r="I34" s="290"/>
    </row>
    <row r="35" spans="1:11" ht="20" customHeight="1">
      <c r="A35" s="155" t="str">
        <f>'BASE PAX'!A10</f>
        <v>LUNCH 4</v>
      </c>
      <c r="B35" s="74">
        <f>($B$5+$B$6)*'BASE PAX'!B10</f>
        <v>0</v>
      </c>
      <c r="C35" s="123">
        <f>'BASE PAX'!C10</f>
        <v>45000</v>
      </c>
      <c r="D35" s="125">
        <f>'BASE PAX'!D10</f>
        <v>54000</v>
      </c>
      <c r="E35" s="151">
        <f t="shared" si="4"/>
        <v>0</v>
      </c>
      <c r="F35" s="124">
        <f t="shared" si="3"/>
        <v>0</v>
      </c>
      <c r="G35" s="146">
        <f t="shared" si="5"/>
        <v>0</v>
      </c>
      <c r="I35" s="290"/>
    </row>
    <row r="36" spans="1:11" ht="20" customHeight="1">
      <c r="A36" s="155" t="str">
        <f>'BASE PAX'!A11</f>
        <v>LUNCH 5</v>
      </c>
      <c r="B36" s="74">
        <f>($B$5+$B$6)*'BASE PAX'!B11</f>
        <v>0</v>
      </c>
      <c r="C36" s="123">
        <f>'BASE PAX'!C11</f>
        <v>50000</v>
      </c>
      <c r="D36" s="125">
        <f>'BASE PAX'!D11</f>
        <v>60000</v>
      </c>
      <c r="E36" s="151">
        <f t="shared" si="4"/>
        <v>0</v>
      </c>
      <c r="F36" s="124">
        <f t="shared" si="3"/>
        <v>0</v>
      </c>
      <c r="G36" s="146">
        <f t="shared" si="5"/>
        <v>0</v>
      </c>
      <c r="I36" s="290"/>
    </row>
    <row r="37" spans="1:11" ht="20" customHeight="1">
      <c r="A37" s="155" t="str">
        <f>'BASE PAX'!A12</f>
        <v>LUNCH 6</v>
      </c>
      <c r="B37" s="74">
        <f>($B$5+$B$6)*'BASE PAX'!B12</f>
        <v>0</v>
      </c>
      <c r="C37" s="123">
        <f>'BASE PAX'!C12</f>
        <v>0</v>
      </c>
      <c r="D37" s="125">
        <f>'BASE PAX'!D12</f>
        <v>0</v>
      </c>
      <c r="E37" s="151">
        <f t="shared" si="4"/>
        <v>0</v>
      </c>
      <c r="F37" s="124">
        <f t="shared" si="3"/>
        <v>0</v>
      </c>
      <c r="G37" s="146">
        <f t="shared" si="5"/>
        <v>0</v>
      </c>
      <c r="I37" s="290"/>
    </row>
    <row r="38" spans="1:11" ht="20" customHeight="1">
      <c r="A38" s="155" t="str">
        <f>'BASE PAX'!A13</f>
        <v>LUNCH 7</v>
      </c>
      <c r="B38" s="74">
        <f>($B$5+$B$6)*'BASE PAX'!B13</f>
        <v>0</v>
      </c>
      <c r="C38" s="123">
        <f>'BASE PAX'!C13</f>
        <v>5000</v>
      </c>
      <c r="D38" s="125">
        <f>'BASE PAX'!D13</f>
        <v>6000</v>
      </c>
      <c r="E38" s="151">
        <f t="shared" si="4"/>
        <v>0</v>
      </c>
      <c r="F38" s="124">
        <f t="shared" si="3"/>
        <v>0</v>
      </c>
      <c r="G38" s="146">
        <f t="shared" si="5"/>
        <v>0</v>
      </c>
      <c r="I38" s="290"/>
    </row>
    <row r="39" spans="1:11" ht="20" customHeight="1">
      <c r="A39" s="156" t="str">
        <f>'BASE PAX'!A14</f>
        <v>SNACKS</v>
      </c>
      <c r="B39" s="75">
        <f>($B$5+$B$6)*'BASE PAX'!B14</f>
        <v>0</v>
      </c>
      <c r="C39" s="125">
        <f>'BASE PAX'!C14</f>
        <v>8000</v>
      </c>
      <c r="D39" s="145">
        <f>'BASE PAX'!D14</f>
        <v>9600</v>
      </c>
      <c r="E39" s="150">
        <f t="shared" si="4"/>
        <v>0</v>
      </c>
      <c r="F39" s="122">
        <f t="shared" si="3"/>
        <v>0</v>
      </c>
      <c r="G39" s="146">
        <f t="shared" si="5"/>
        <v>0</v>
      </c>
      <c r="I39" s="290"/>
    </row>
    <row r="40" spans="1:11" ht="20" customHeight="1">
      <c r="A40" s="155" t="str">
        <f>'BASE PAX'!A15</f>
        <v>DINNER 1</v>
      </c>
      <c r="B40" s="74">
        <f>($B$5+$B$6)*'BASE PAX'!B15</f>
        <v>0</v>
      </c>
      <c r="C40" s="123">
        <f>'BASE PAX'!C15</f>
        <v>70000</v>
      </c>
      <c r="D40" s="125">
        <f>'BASE PAX'!D15</f>
        <v>84000</v>
      </c>
      <c r="E40" s="151">
        <f t="shared" si="4"/>
        <v>0</v>
      </c>
      <c r="F40" s="124">
        <f t="shared" si="3"/>
        <v>0</v>
      </c>
      <c r="G40" s="146">
        <f t="shared" si="5"/>
        <v>0</v>
      </c>
      <c r="H40" s="287"/>
      <c r="I40" s="291"/>
    </row>
    <row r="41" spans="1:11" ht="20" customHeight="1">
      <c r="A41" s="155" t="str">
        <f>'BASE PAX'!A16</f>
        <v>DINNER 2</v>
      </c>
      <c r="B41" s="74">
        <f>($B$5+$B$6)*'BASE PAX'!B16</f>
        <v>0</v>
      </c>
      <c r="C41" s="123">
        <f>'BASE PAX'!C16</f>
        <v>25000</v>
      </c>
      <c r="D41" s="125">
        <f>'BASE PAX'!D16</f>
        <v>30000</v>
      </c>
      <c r="E41" s="151">
        <f t="shared" si="4"/>
        <v>0</v>
      </c>
      <c r="F41" s="124">
        <f t="shared" si="3"/>
        <v>0</v>
      </c>
      <c r="G41" s="146">
        <f t="shared" si="5"/>
        <v>0</v>
      </c>
      <c r="I41" s="290"/>
    </row>
    <row r="42" spans="1:11" ht="20" customHeight="1">
      <c r="A42" s="155" t="str">
        <f>'BASE PAX'!A17</f>
        <v>DINNER 3</v>
      </c>
      <c r="B42" s="74">
        <f>($B$5+$B$6)*'BASE PAX'!B17</f>
        <v>0</v>
      </c>
      <c r="C42" s="123">
        <f>'BASE PAX'!C17</f>
        <v>50000</v>
      </c>
      <c r="D42" s="125">
        <f>'BASE PAX'!D17</f>
        <v>60000</v>
      </c>
      <c r="E42" s="151">
        <f t="shared" si="4"/>
        <v>0</v>
      </c>
      <c r="F42" s="124">
        <f t="shared" si="3"/>
        <v>0</v>
      </c>
      <c r="G42" s="146">
        <f t="shared" si="5"/>
        <v>0</v>
      </c>
      <c r="I42" s="290"/>
    </row>
    <row r="43" spans="1:11" ht="20" customHeight="1">
      <c r="A43" s="155" t="str">
        <f>'BASE PAX'!A18</f>
        <v>DINNER 4</v>
      </c>
      <c r="B43" s="74">
        <f>($B$5+$B$6)*'BASE PAX'!B18</f>
        <v>0</v>
      </c>
      <c r="C43" s="123">
        <f>'BASE PAX'!C18</f>
        <v>65000</v>
      </c>
      <c r="D43" s="125">
        <f>'BASE PAX'!D18</f>
        <v>78000</v>
      </c>
      <c r="E43" s="151">
        <f t="shared" si="4"/>
        <v>0</v>
      </c>
      <c r="F43" s="124">
        <f t="shared" si="3"/>
        <v>0</v>
      </c>
      <c r="G43" s="146">
        <f t="shared" si="5"/>
        <v>0</v>
      </c>
      <c r="I43" s="9"/>
    </row>
    <row r="44" spans="1:11" ht="20" customHeight="1">
      <c r="A44" s="155" t="str">
        <f>'BASE PAX'!A19</f>
        <v>DINNER 5</v>
      </c>
      <c r="B44" s="74">
        <f>($B$5+$B$6)*'BASE PAX'!B19</f>
        <v>0</v>
      </c>
      <c r="C44" s="123">
        <f>'BASE PAX'!C19</f>
        <v>75000</v>
      </c>
      <c r="D44" s="125">
        <f>'BASE PAX'!D19</f>
        <v>90000</v>
      </c>
      <c r="E44" s="151">
        <f t="shared" si="4"/>
        <v>0</v>
      </c>
      <c r="F44" s="124">
        <f t="shared" si="3"/>
        <v>0</v>
      </c>
      <c r="G44" s="146">
        <f t="shared" si="5"/>
        <v>0</v>
      </c>
      <c r="I44" s="9"/>
    </row>
    <row r="45" spans="1:11" ht="20" customHeight="1">
      <c r="A45" s="155" t="str">
        <f>'BASE PAX'!A20</f>
        <v>DINNER 6</v>
      </c>
      <c r="B45" s="74">
        <f>($B$5+$B$6)*'BASE PAX'!B20</f>
        <v>0</v>
      </c>
      <c r="C45" s="123">
        <f>'BASE PAX'!C20</f>
        <v>0</v>
      </c>
      <c r="D45" s="125">
        <f>'BASE PAX'!D20</f>
        <v>0</v>
      </c>
      <c r="E45" s="151">
        <f t="shared" si="4"/>
        <v>0</v>
      </c>
      <c r="F45" s="124">
        <f t="shared" si="3"/>
        <v>0</v>
      </c>
      <c r="G45" s="146">
        <f t="shared" si="5"/>
        <v>0</v>
      </c>
      <c r="I45" s="9"/>
    </row>
    <row r="46" spans="1:11" ht="20" customHeight="1" thickBot="1">
      <c r="A46" s="155" t="str">
        <f>'BASE PAX'!A21</f>
        <v>DINNER 7</v>
      </c>
      <c r="B46" s="74">
        <f>($B$5+$B$6)*'BASE PAX'!B21</f>
        <v>0</v>
      </c>
      <c r="C46" s="123">
        <f>'BASE PAX'!C21</f>
        <v>75000</v>
      </c>
      <c r="D46" s="125">
        <f>'BASE PAX'!D21</f>
        <v>90000</v>
      </c>
      <c r="E46" s="151">
        <f t="shared" si="4"/>
        <v>0</v>
      </c>
      <c r="F46" s="124">
        <f t="shared" si="3"/>
        <v>0</v>
      </c>
      <c r="G46" s="146">
        <f t="shared" si="5"/>
        <v>0</v>
      </c>
      <c r="I46" s="10"/>
    </row>
    <row r="47" spans="1:11" ht="20" customHeight="1">
      <c r="A47" s="155" t="str">
        <f>'BASE PAX'!A22</f>
        <v>QUANT. TOTAL | PADRAO ALMOÇO</v>
      </c>
      <c r="B47" s="74">
        <f>'BASE PAX'!B22</f>
        <v>0</v>
      </c>
      <c r="C47" s="123"/>
      <c r="D47" s="125"/>
      <c r="E47" s="151"/>
      <c r="F47" s="124"/>
      <c r="G47" s="325">
        <f>0.2*I47</f>
        <v>0</v>
      </c>
      <c r="H47" s="338" t="str">
        <f>A47</f>
        <v>QUANT. TOTAL | PADRAO ALMOÇO</v>
      </c>
      <c r="I47" s="349">
        <f>(B5*B47*'BASE PAX'!G22)+(B6*B47*'BASE PAX'!H22)</f>
        <v>0</v>
      </c>
      <c r="J47" s="328"/>
      <c r="K47" s="329"/>
    </row>
    <row r="48" spans="1:11" ht="20" customHeight="1" thickBot="1">
      <c r="A48" s="163" t="str">
        <f>'BASE PAX'!A23</f>
        <v>QUANT. TOTAL | PADRAO JANTAR</v>
      </c>
      <c r="B48" s="164">
        <f>'BASE PAX'!B23</f>
        <v>0</v>
      </c>
      <c r="C48" s="165"/>
      <c r="D48" s="166"/>
      <c r="E48" s="167"/>
      <c r="F48" s="168"/>
      <c r="G48" s="326">
        <f>0.2*I48</f>
        <v>0</v>
      </c>
      <c r="H48" s="347" t="str">
        <f>A48</f>
        <v>QUANT. TOTAL | PADRAO JANTAR</v>
      </c>
      <c r="I48" s="335">
        <f>(B5*B48*'BASE PAX'!G23)+(B6*B48*'BASE PAX'!H23)</f>
        <v>0</v>
      </c>
      <c r="J48" s="330"/>
      <c r="K48" s="331"/>
    </row>
    <row r="49" spans="1:16" ht="29" customHeight="1" thickBot="1">
      <c r="A49" s="161" t="s">
        <v>72</v>
      </c>
      <c r="B49" s="157"/>
      <c r="C49" s="158"/>
      <c r="D49" s="303"/>
      <c r="E49" s="104">
        <f>SUM(E31:E48)</f>
        <v>0</v>
      </c>
      <c r="F49" s="104">
        <f>SUM(F31:F48)</f>
        <v>0</v>
      </c>
      <c r="G49" s="327">
        <f>SUM(G31:G48)</f>
        <v>0</v>
      </c>
      <c r="H49" s="341" t="s">
        <v>55</v>
      </c>
      <c r="I49" s="342">
        <f>I31+I47+I48</f>
        <v>0</v>
      </c>
      <c r="J49" s="358">
        <f>I49+E49</f>
        <v>0</v>
      </c>
      <c r="K49" s="332" t="s">
        <v>160</v>
      </c>
    </row>
    <row r="50" spans="1:16" s="8" customFormat="1" ht="11" customHeight="1" thickBot="1">
      <c r="A50" s="16"/>
      <c r="B50" s="56"/>
      <c r="C50" s="105"/>
      <c r="D50" s="102"/>
      <c r="E50" s="102"/>
      <c r="F50" s="7"/>
      <c r="G50" s="17"/>
      <c r="H50" s="7"/>
      <c r="I50" s="7"/>
      <c r="J50" s="7"/>
      <c r="K50" s="7"/>
      <c r="L50" s="7"/>
      <c r="M50" s="7"/>
      <c r="N50" s="7"/>
      <c r="O50" s="7"/>
      <c r="P50" s="7"/>
    </row>
    <row r="51" spans="1:16" ht="34" customHeight="1" thickBot="1">
      <c r="A51" s="21" t="s">
        <v>161</v>
      </c>
      <c r="B51" s="207" t="s">
        <v>52</v>
      </c>
      <c r="C51" s="208" t="s">
        <v>53</v>
      </c>
      <c r="D51" s="209" t="s">
        <v>54</v>
      </c>
      <c r="E51" s="172" t="s">
        <v>55</v>
      </c>
      <c r="F51" s="142" t="s">
        <v>158</v>
      </c>
      <c r="G51" s="182" t="s">
        <v>159</v>
      </c>
    </row>
    <row r="52" spans="1:16" ht="20" customHeight="1">
      <c r="A52" s="76" t="str">
        <f>'BASE PAX'!A27</f>
        <v>SUCOS</v>
      </c>
      <c r="B52" s="205">
        <f>'BASE PAX'!B27</f>
        <v>0</v>
      </c>
      <c r="C52" s="193">
        <f>'BASE PAX'!C27</f>
        <v>0</v>
      </c>
      <c r="D52" s="206">
        <f t="shared" ref="D52:D58" si="6">(C52*0.2)+C52</f>
        <v>0</v>
      </c>
      <c r="E52" s="174">
        <f t="shared" ref="E52:E58" si="7">D52*B52</f>
        <v>0</v>
      </c>
      <c r="F52" s="173">
        <f t="shared" ref="F52:F58" si="8">B52*C52</f>
        <v>0</v>
      </c>
      <c r="G52" s="183">
        <f t="shared" ref="G52:G59" si="9">E52-F52</f>
        <v>0</v>
      </c>
    </row>
    <row r="53" spans="1:16" ht="20" customHeight="1">
      <c r="A53" s="76" t="str">
        <f>'BASE PAX'!A28</f>
        <v>SUCOS</v>
      </c>
      <c r="B53" s="205">
        <f>'BASE PAX'!B28</f>
        <v>0</v>
      </c>
      <c r="C53" s="175">
        <f>'BASE PAX'!C28</f>
        <v>0</v>
      </c>
      <c r="D53" s="176">
        <f t="shared" si="6"/>
        <v>0</v>
      </c>
      <c r="E53" s="174">
        <f t="shared" si="7"/>
        <v>0</v>
      </c>
      <c r="F53" s="173">
        <f t="shared" si="8"/>
        <v>0</v>
      </c>
      <c r="G53" s="183">
        <f t="shared" si="9"/>
        <v>0</v>
      </c>
    </row>
    <row r="54" spans="1:16" ht="20" customHeight="1">
      <c r="A54" s="87" t="str">
        <f>'BASE PAX'!A29</f>
        <v>CERVEJAS</v>
      </c>
      <c r="B54" s="205">
        <f>'BASE PAX'!B29</f>
        <v>0</v>
      </c>
      <c r="C54" s="175">
        <f>'BASE PAX'!C29</f>
        <v>2000</v>
      </c>
      <c r="D54" s="176">
        <f t="shared" si="6"/>
        <v>2400</v>
      </c>
      <c r="E54" s="174">
        <f t="shared" si="7"/>
        <v>0</v>
      </c>
      <c r="F54" s="173">
        <f t="shared" si="8"/>
        <v>0</v>
      </c>
      <c r="G54" s="183">
        <f t="shared" si="9"/>
        <v>0</v>
      </c>
    </row>
    <row r="55" spans="1:16" ht="20" customHeight="1">
      <c r="A55" s="87" t="str">
        <f>'BASE PAX'!A30</f>
        <v>VINHOS</v>
      </c>
      <c r="B55" s="205">
        <f>'BASE PAX'!B30</f>
        <v>0</v>
      </c>
      <c r="C55" s="175">
        <f>'BASE PAX'!C30</f>
        <v>8000</v>
      </c>
      <c r="D55" s="176">
        <f t="shared" si="6"/>
        <v>9600</v>
      </c>
      <c r="E55" s="174">
        <f t="shared" si="7"/>
        <v>0</v>
      </c>
      <c r="F55" s="173">
        <f t="shared" si="8"/>
        <v>0</v>
      </c>
      <c r="G55" s="183">
        <f t="shared" si="9"/>
        <v>0</v>
      </c>
    </row>
    <row r="56" spans="1:16" ht="20" customHeight="1">
      <c r="A56" s="87" t="str">
        <f>'BASE PAX'!A31</f>
        <v>DRINKS</v>
      </c>
      <c r="B56" s="205">
        <f>'BASE PAX'!B31</f>
        <v>0</v>
      </c>
      <c r="C56" s="175">
        <f>'BASE PAX'!C31</f>
        <v>15000</v>
      </c>
      <c r="D56" s="176">
        <f t="shared" si="6"/>
        <v>18000</v>
      </c>
      <c r="E56" s="174">
        <f t="shared" si="7"/>
        <v>0</v>
      </c>
      <c r="F56" s="173">
        <f t="shared" si="8"/>
        <v>0</v>
      </c>
      <c r="G56" s="183">
        <f t="shared" si="9"/>
        <v>0</v>
      </c>
    </row>
    <row r="57" spans="1:16" ht="20" customHeight="1">
      <c r="A57" s="87" t="str">
        <f>'BASE PAX'!A32</f>
        <v>COOLER</v>
      </c>
      <c r="B57" s="205">
        <f>'BASE PAX'!B32</f>
        <v>0</v>
      </c>
      <c r="C57" s="175">
        <f>'BASE PAX'!C32</f>
        <v>5000</v>
      </c>
      <c r="D57" s="176">
        <f t="shared" si="6"/>
        <v>6000</v>
      </c>
      <c r="E57" s="174">
        <f t="shared" si="7"/>
        <v>0</v>
      </c>
      <c r="F57" s="173">
        <f t="shared" si="8"/>
        <v>0</v>
      </c>
      <c r="G57" s="183">
        <f t="shared" si="9"/>
        <v>0</v>
      </c>
    </row>
    <row r="58" spans="1:16" ht="20" customHeight="1" thickBot="1">
      <c r="A58" s="180">
        <f>'BASE PAX'!A33</f>
        <v>0</v>
      </c>
      <c r="B58" s="205">
        <f>'BASE PAX'!B33</f>
        <v>0</v>
      </c>
      <c r="C58" s="178">
        <f>'BASE PAX'!C33</f>
        <v>0</v>
      </c>
      <c r="D58" s="179">
        <f t="shared" si="6"/>
        <v>0</v>
      </c>
      <c r="E58" s="184">
        <f t="shared" si="7"/>
        <v>0</v>
      </c>
      <c r="F58" s="185">
        <f t="shared" si="8"/>
        <v>0</v>
      </c>
      <c r="G58" s="186">
        <f t="shared" si="9"/>
        <v>0</v>
      </c>
    </row>
    <row r="59" spans="1:16" ht="48" customHeight="1" thickBot="1">
      <c r="A59" s="21" t="s">
        <v>79</v>
      </c>
      <c r="B59" s="77"/>
      <c r="C59" s="126"/>
      <c r="D59" s="181"/>
      <c r="E59" s="127">
        <f>SUM(E52:E58)</f>
        <v>0</v>
      </c>
      <c r="F59" s="188">
        <f>SUM(F52:F58)</f>
        <v>0</v>
      </c>
      <c r="G59" s="189">
        <f t="shared" si="9"/>
        <v>0</v>
      </c>
    </row>
    <row r="60" spans="1:16" s="8" customFormat="1" ht="11" customHeight="1" thickBot="1">
      <c r="A60" s="16"/>
      <c r="B60" s="56"/>
      <c r="C60" s="105"/>
      <c r="D60" s="102"/>
      <c r="E60" s="102"/>
      <c r="F60" s="7"/>
      <c r="G60" s="17"/>
      <c r="H60" s="7"/>
      <c r="I60" s="7"/>
      <c r="J60" s="7"/>
      <c r="K60" s="7"/>
      <c r="L60" s="7"/>
      <c r="M60" s="7"/>
      <c r="N60" s="7"/>
      <c r="O60" s="7"/>
      <c r="P60" s="7"/>
    </row>
    <row r="61" spans="1:16" s="10" customFormat="1" ht="42" customHeight="1" thickBot="1">
      <c r="A61" s="226" t="s">
        <v>18</v>
      </c>
      <c r="B61" s="227" t="s">
        <v>52</v>
      </c>
      <c r="C61" s="228" t="s">
        <v>53</v>
      </c>
      <c r="D61" s="229" t="s">
        <v>54</v>
      </c>
      <c r="E61" s="229" t="s">
        <v>55</v>
      </c>
      <c r="F61" s="228" t="s">
        <v>158</v>
      </c>
      <c r="G61" s="230" t="s">
        <v>159</v>
      </c>
    </row>
    <row r="62" spans="1:16" ht="20" customHeight="1">
      <c r="A62" s="223" t="str">
        <f>'BASE PAX'!A37</f>
        <v>HOTTUBE</v>
      </c>
      <c r="B62" s="224">
        <f>'BASE PAX'!B37</f>
        <v>0</v>
      </c>
      <c r="C62" s="195">
        <f>'BASE PAX'!C37</f>
        <v>12000</v>
      </c>
      <c r="D62" s="225">
        <f t="shared" ref="D62:D71" si="10">C62*0.2+C62</f>
        <v>14400</v>
      </c>
      <c r="E62" s="225">
        <f t="shared" ref="E62:E71" si="11">D62*B62</f>
        <v>0</v>
      </c>
      <c r="F62" s="195">
        <f t="shared" ref="F62:F72" si="12">B62*C62</f>
        <v>0</v>
      </c>
      <c r="G62" s="194">
        <f t="shared" ref="G62:G72" si="13">E62-F62</f>
        <v>0</v>
      </c>
    </row>
    <row r="63" spans="1:16" ht="20" customHeight="1">
      <c r="A63" s="219" t="str">
        <f>'BASE PAX'!A38</f>
        <v>TREKKING 1/2 DAY</v>
      </c>
      <c r="B63" s="224">
        <f>'BASE PAX'!B38</f>
        <v>0</v>
      </c>
      <c r="C63" s="196">
        <f>'BASE PAX'!C38</f>
        <v>60000</v>
      </c>
      <c r="D63" s="220">
        <f t="shared" si="10"/>
        <v>72000</v>
      </c>
      <c r="E63" s="220">
        <f t="shared" si="11"/>
        <v>0</v>
      </c>
      <c r="F63" s="196">
        <f t="shared" si="12"/>
        <v>0</v>
      </c>
      <c r="G63" s="190">
        <f t="shared" si="13"/>
        <v>0</v>
      </c>
    </row>
    <row r="64" spans="1:16" ht="20" customHeight="1">
      <c r="A64" s="219" t="str">
        <f>'BASE PAX'!A39</f>
        <v>TREKKING FUK DAY</v>
      </c>
      <c r="B64" s="224">
        <f>'BASE PAX'!B39</f>
        <v>0</v>
      </c>
      <c r="C64" s="196">
        <f>'BASE PAX'!C39</f>
        <v>90000</v>
      </c>
      <c r="D64" s="220">
        <f t="shared" si="10"/>
        <v>108000</v>
      </c>
      <c r="E64" s="220">
        <f t="shared" si="11"/>
        <v>0</v>
      </c>
      <c r="F64" s="196">
        <f t="shared" si="12"/>
        <v>0</v>
      </c>
      <c r="G64" s="190">
        <f t="shared" si="13"/>
        <v>0</v>
      </c>
    </row>
    <row r="65" spans="1:16" ht="20" customHeight="1">
      <c r="A65" s="219" t="str">
        <f>'BASE PAX'!A40</f>
        <v>FLOTADA FAMILIAR</v>
      </c>
      <c r="B65" s="224">
        <f>'BASE PAX'!B40</f>
        <v>0</v>
      </c>
      <c r="C65" s="196">
        <f>'BASE PAX'!C40</f>
        <v>60000</v>
      </c>
      <c r="D65" s="220">
        <f t="shared" si="10"/>
        <v>72000</v>
      </c>
      <c r="E65" s="220">
        <f t="shared" si="11"/>
        <v>0</v>
      </c>
      <c r="F65" s="196">
        <f t="shared" si="12"/>
        <v>0</v>
      </c>
      <c r="G65" s="190">
        <f t="shared" si="13"/>
        <v>0</v>
      </c>
    </row>
    <row r="66" spans="1:16" ht="20" customHeight="1">
      <c r="A66" s="219" t="str">
        <f>'BASE PAX'!A41</f>
        <v>RAFTING 1/2 DAY</v>
      </c>
      <c r="B66" s="224">
        <f>'BASE PAX'!B41</f>
        <v>0</v>
      </c>
      <c r="C66" s="196">
        <f>'BASE PAX'!C41</f>
        <v>75000</v>
      </c>
      <c r="D66" s="220">
        <f t="shared" si="10"/>
        <v>90000</v>
      </c>
      <c r="E66" s="220">
        <f t="shared" si="11"/>
        <v>0</v>
      </c>
      <c r="F66" s="196">
        <f t="shared" si="12"/>
        <v>0</v>
      </c>
      <c r="G66" s="190">
        <f t="shared" si="13"/>
        <v>0</v>
      </c>
    </row>
    <row r="67" spans="1:16" ht="20" customHeight="1">
      <c r="A67" s="219" t="str">
        <f>'BASE PAX'!A42</f>
        <v>RAFTING FULL DAY</v>
      </c>
      <c r="B67" s="224">
        <f>'BASE PAX'!B42</f>
        <v>0</v>
      </c>
      <c r="C67" s="196">
        <f>'BASE PAX'!C42</f>
        <v>110000</v>
      </c>
      <c r="D67" s="220">
        <f t="shared" si="10"/>
        <v>132000</v>
      </c>
      <c r="E67" s="220">
        <f t="shared" si="11"/>
        <v>0</v>
      </c>
      <c r="F67" s="196">
        <f t="shared" si="12"/>
        <v>0</v>
      </c>
      <c r="G67" s="190">
        <f t="shared" si="13"/>
        <v>0</v>
      </c>
    </row>
    <row r="68" spans="1:16" ht="20" customHeight="1">
      <c r="A68" s="219" t="str">
        <f>'BASE PAX'!A43</f>
        <v>CABALGADA 1/2 DAy</v>
      </c>
      <c r="B68" s="224">
        <f>'BASE PAX'!B43</f>
        <v>0</v>
      </c>
      <c r="C68" s="196">
        <f>'BASE PAX'!C43</f>
        <v>90000</v>
      </c>
      <c r="D68" s="220">
        <f t="shared" si="10"/>
        <v>108000</v>
      </c>
      <c r="E68" s="220">
        <f t="shared" si="11"/>
        <v>0</v>
      </c>
      <c r="F68" s="196">
        <f t="shared" si="12"/>
        <v>0</v>
      </c>
      <c r="G68" s="190">
        <f t="shared" si="13"/>
        <v>0</v>
      </c>
    </row>
    <row r="69" spans="1:16" ht="20" customHeight="1">
      <c r="A69" s="219" t="str">
        <f>'BASE PAX'!A44</f>
        <v>CABALGADA FULL DAY</v>
      </c>
      <c r="B69" s="224">
        <f>'BASE PAX'!B44</f>
        <v>0</v>
      </c>
      <c r="C69" s="196">
        <f>'BASE PAX'!C44</f>
        <v>140000</v>
      </c>
      <c r="D69" s="220">
        <f t="shared" si="10"/>
        <v>168000</v>
      </c>
      <c r="E69" s="220">
        <f t="shared" si="11"/>
        <v>0</v>
      </c>
      <c r="F69" s="196">
        <f t="shared" si="12"/>
        <v>0</v>
      </c>
      <c r="G69" s="190">
        <f t="shared" si="13"/>
        <v>0</v>
      </c>
    </row>
    <row r="70" spans="1:16" ht="20" customHeight="1">
      <c r="A70" s="219" t="str">
        <f>'BASE PAX'!A45</f>
        <v>LANCHA YELCHO</v>
      </c>
      <c r="B70" s="224">
        <f>'BASE PAX'!B45</f>
        <v>0</v>
      </c>
      <c r="C70" s="196">
        <f>'BASE PAX'!C45</f>
        <v>120000</v>
      </c>
      <c r="D70" s="220">
        <f t="shared" si="10"/>
        <v>144000</v>
      </c>
      <c r="E70" s="220">
        <f t="shared" si="11"/>
        <v>0</v>
      </c>
      <c r="F70" s="196">
        <f t="shared" si="12"/>
        <v>0</v>
      </c>
      <c r="G70" s="190">
        <f t="shared" si="13"/>
        <v>0</v>
      </c>
    </row>
    <row r="71" spans="1:16" ht="20" customHeight="1" thickBot="1">
      <c r="A71" s="221" t="str">
        <f>'BASE PAX'!A46</f>
        <v>RECREACAO INFANTIL 3HS</v>
      </c>
      <c r="B71" s="224">
        <f>'BASE PAX'!B46</f>
        <v>0</v>
      </c>
      <c r="C71" s="197">
        <f>'BASE PAX'!C46</f>
        <v>30000</v>
      </c>
      <c r="D71" s="220">
        <f t="shared" si="10"/>
        <v>36000</v>
      </c>
      <c r="E71" s="222">
        <f t="shared" si="11"/>
        <v>0</v>
      </c>
      <c r="F71" s="197">
        <f t="shared" si="12"/>
        <v>0</v>
      </c>
      <c r="G71" s="192">
        <f t="shared" si="13"/>
        <v>0</v>
      </c>
    </row>
    <row r="72" spans="1:16" ht="48" customHeight="1" thickBot="1">
      <c r="A72" s="22" t="s">
        <v>84</v>
      </c>
      <c r="B72" s="79"/>
      <c r="C72" s="128"/>
      <c r="D72" s="128"/>
      <c r="E72" s="198">
        <f>SUM(E62:E71)</f>
        <v>0</v>
      </c>
      <c r="F72" s="204">
        <f t="shared" si="12"/>
        <v>0</v>
      </c>
      <c r="G72" s="203">
        <f t="shared" si="13"/>
        <v>0</v>
      </c>
    </row>
    <row r="73" spans="1:16" ht="37" customHeight="1" thickBot="1"/>
    <row r="74" spans="1:16" s="8" customFormat="1" ht="36" customHeight="1" thickBot="1">
      <c r="A74" s="23" t="s">
        <v>116</v>
      </c>
      <c r="B74" s="214" t="s">
        <v>52</v>
      </c>
      <c r="C74" s="215" t="s">
        <v>53</v>
      </c>
      <c r="D74" s="153" t="s">
        <v>54</v>
      </c>
      <c r="E74" s="153" t="s">
        <v>55</v>
      </c>
      <c r="F74" s="143" t="s">
        <v>162</v>
      </c>
      <c r="G74" s="147" t="s">
        <v>159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 ht="20" customHeight="1">
      <c r="A75" s="88" t="str">
        <f>'BASE PAX'!A50</f>
        <v>TRANSFER AEROPORTO CHEGADA</v>
      </c>
      <c r="B75" s="211">
        <f>'BASE PAX'!B50</f>
        <v>0</v>
      </c>
      <c r="C75" s="213">
        <f>'BASE PAX'!C50</f>
        <v>80000</v>
      </c>
      <c r="D75" s="231">
        <f>C75*0.2+C75</f>
        <v>96000</v>
      </c>
      <c r="E75" s="231">
        <f>D75*B75</f>
        <v>0</v>
      </c>
      <c r="F75" s="210">
        <f>B75*C75</f>
        <v>0</v>
      </c>
      <c r="G75" s="199">
        <f t="shared" ref="G75:G80" si="14">E75-F75</f>
        <v>0</v>
      </c>
    </row>
    <row r="76" spans="1:16" ht="20" customHeight="1">
      <c r="A76" s="88" t="str">
        <f>'BASE PAX'!A51</f>
        <v>TRANSFER AEROPORTO PARTIDA</v>
      </c>
      <c r="B76" s="211">
        <f>'BASE PAX'!B51</f>
        <v>0</v>
      </c>
      <c r="C76" s="212">
        <f>'BASE PAX'!C51</f>
        <v>80000</v>
      </c>
      <c r="D76" s="232">
        <f>C76*0.2+C76</f>
        <v>96000</v>
      </c>
      <c r="E76" s="232">
        <f>D76*B76</f>
        <v>0</v>
      </c>
      <c r="F76" s="210">
        <f>B76*C76</f>
        <v>0</v>
      </c>
      <c r="G76" s="200">
        <f t="shared" si="14"/>
        <v>0</v>
      </c>
    </row>
    <row r="77" spans="1:16" ht="20" customHeight="1">
      <c r="A77" s="88" t="str">
        <f>'BASE PAX'!A52</f>
        <v>TRANSFERS INTERNO</v>
      </c>
      <c r="B77" s="211">
        <f>'BASE PAX'!B52</f>
        <v>0</v>
      </c>
      <c r="C77" s="212">
        <f>'BASE PAX'!C52</f>
        <v>18000</v>
      </c>
      <c r="D77" s="232">
        <f>C77*0.2+C77</f>
        <v>21600</v>
      </c>
      <c r="E77" s="232">
        <f>D77*B77</f>
        <v>0</v>
      </c>
      <c r="F77" s="210">
        <f>B77*C77</f>
        <v>0</v>
      </c>
      <c r="G77" s="200">
        <f t="shared" si="14"/>
        <v>0</v>
      </c>
    </row>
    <row r="78" spans="1:16" ht="20" customHeight="1">
      <c r="A78" s="88" t="str">
        <f>'BASE PAX'!A53</f>
        <v>EXTRAS 1</v>
      </c>
      <c r="B78" s="211">
        <f>'BASE PAX'!B53</f>
        <v>0</v>
      </c>
      <c r="C78" s="212">
        <f>'BASE PAX'!C53</f>
        <v>150000</v>
      </c>
      <c r="D78" s="232">
        <f>C78*0.2+C78</f>
        <v>180000</v>
      </c>
      <c r="E78" s="232">
        <f>D78*B78</f>
        <v>0</v>
      </c>
      <c r="F78" s="210">
        <f>B78*C78</f>
        <v>0</v>
      </c>
      <c r="G78" s="200">
        <f t="shared" si="14"/>
        <v>0</v>
      </c>
    </row>
    <row r="79" spans="1:16" ht="20" customHeight="1" thickBot="1">
      <c r="A79" s="218" t="str">
        <f>'BASE PAX'!A54</f>
        <v>EXTRAS 2</v>
      </c>
      <c r="B79" s="211">
        <f>'BASE PAX'!B54</f>
        <v>0</v>
      </c>
      <c r="C79" s="216">
        <f>'BASE PAX'!C54</f>
        <v>0</v>
      </c>
      <c r="D79" s="233">
        <f>C79*0.2+C79</f>
        <v>0</v>
      </c>
      <c r="E79" s="233">
        <f>D79*B79</f>
        <v>0</v>
      </c>
      <c r="F79" s="217">
        <f>B79*C79</f>
        <v>0</v>
      </c>
      <c r="G79" s="201">
        <f t="shared" si="14"/>
        <v>0</v>
      </c>
    </row>
    <row r="80" spans="1:16" ht="44" customHeight="1" thickBot="1">
      <c r="A80" s="23" t="s">
        <v>89</v>
      </c>
      <c r="B80" s="80"/>
      <c r="C80" s="130"/>
      <c r="D80" s="130"/>
      <c r="E80" s="131">
        <f>SUM(E75:E79)</f>
        <v>0</v>
      </c>
      <c r="F80" s="131">
        <f>SUM(F75:F79)</f>
        <v>0</v>
      </c>
      <c r="G80" s="203">
        <f t="shared" si="14"/>
        <v>0</v>
      </c>
    </row>
    <row r="81" spans="1:16" s="8" customFormat="1" ht="11" customHeight="1" thickBot="1">
      <c r="A81" s="16"/>
      <c r="B81" s="56"/>
      <c r="C81" s="105"/>
      <c r="D81" s="102"/>
      <c r="E81" s="102"/>
      <c r="F81" s="7"/>
      <c r="G81" s="17"/>
      <c r="H81" s="7"/>
      <c r="I81" s="7"/>
      <c r="J81" s="7"/>
      <c r="K81" s="7"/>
      <c r="L81" s="7"/>
      <c r="M81" s="7"/>
      <c r="N81" s="7"/>
      <c r="O81" s="7"/>
      <c r="P81" s="7"/>
    </row>
    <row r="82" spans="1:16" s="9" customFormat="1" ht="42" customHeight="1" thickBot="1">
      <c r="A82" s="246" t="s">
        <v>117</v>
      </c>
      <c r="B82" s="247" t="s">
        <v>52</v>
      </c>
      <c r="C82" s="248" t="s">
        <v>53</v>
      </c>
      <c r="D82" s="249" t="s">
        <v>54</v>
      </c>
      <c r="E82" s="249" t="s">
        <v>55</v>
      </c>
      <c r="F82" s="248" t="s">
        <v>162</v>
      </c>
      <c r="G82" s="147" t="s">
        <v>159</v>
      </c>
    </row>
    <row r="83" spans="1:16" ht="20" customHeight="1">
      <c r="A83" s="81" t="str">
        <f>'BASE PAX'!A58</f>
        <v>WS INSTRUCTOR</v>
      </c>
      <c r="B83" s="238">
        <f>'BASE PAX'!B58</f>
        <v>0</v>
      </c>
      <c r="C83" s="239">
        <f>'BASE PAX'!C58</f>
        <v>3415000</v>
      </c>
      <c r="D83" s="240">
        <f>(C83*0.15)+C83</f>
        <v>3927250</v>
      </c>
      <c r="E83" s="240">
        <f>D83*B83</f>
        <v>0</v>
      </c>
      <c r="F83" s="234">
        <f>B83*C83</f>
        <v>0</v>
      </c>
      <c r="G83" s="199">
        <f>E83-F83</f>
        <v>0</v>
      </c>
    </row>
    <row r="84" spans="1:16" ht="20" customHeight="1">
      <c r="A84" s="81" t="str">
        <f>'BASE PAX'!A59</f>
        <v>PRODUCER FEE</v>
      </c>
      <c r="B84" s="235">
        <f>'BASE PAX'!B59</f>
        <v>0</v>
      </c>
      <c r="C84" s="236">
        <f>'BASE PAX'!C59</f>
        <v>180000</v>
      </c>
      <c r="D84" s="237">
        <f>(C84*0.15)+C84</f>
        <v>207000</v>
      </c>
      <c r="E84" s="237">
        <f>D84*B84</f>
        <v>0</v>
      </c>
      <c r="F84" s="234">
        <f>B84*C84</f>
        <v>0</v>
      </c>
      <c r="G84" s="200">
        <f>E84-F84</f>
        <v>0</v>
      </c>
    </row>
    <row r="85" spans="1:16" ht="20" customHeight="1" thickBot="1">
      <c r="A85" s="241">
        <f>'BASE PAX'!A60</f>
        <v>0</v>
      </c>
      <c r="B85" s="242">
        <f>'BASE PAX'!B60</f>
        <v>0</v>
      </c>
      <c r="C85" s="243">
        <f>'BASE PAX'!C60</f>
        <v>20000</v>
      </c>
      <c r="D85" s="244">
        <f>(C85*0.15)+C85</f>
        <v>23000</v>
      </c>
      <c r="E85" s="244">
        <f>D85*B85</f>
        <v>0</v>
      </c>
      <c r="F85" s="245">
        <f>B85*C85</f>
        <v>0</v>
      </c>
      <c r="G85" s="201">
        <f>E85-F85</f>
        <v>0</v>
      </c>
    </row>
    <row r="86" spans="1:16" ht="41" customHeight="1" thickBot="1">
      <c r="A86" s="24" t="s">
        <v>163</v>
      </c>
      <c r="B86" s="82"/>
      <c r="C86" s="132"/>
      <c r="D86" s="132"/>
      <c r="E86" s="133">
        <f>SUM(E83:E85)</f>
        <v>0</v>
      </c>
      <c r="F86" s="133">
        <f>SUM(F81:F85)</f>
        <v>0</v>
      </c>
      <c r="G86" s="203">
        <f>E86-F86</f>
        <v>0</v>
      </c>
    </row>
    <row r="87" spans="1:16" s="8" customFormat="1" ht="11" customHeight="1" thickBot="1">
      <c r="A87" s="16"/>
      <c r="B87" s="56"/>
      <c r="C87" s="105"/>
      <c r="D87" s="102"/>
      <c r="E87" s="102"/>
      <c r="F87" s="7"/>
      <c r="G87" s="17"/>
      <c r="H87" s="7"/>
      <c r="I87" s="7"/>
      <c r="J87" s="7"/>
      <c r="K87" s="7"/>
      <c r="L87" s="7"/>
      <c r="M87" s="7"/>
      <c r="N87" s="7"/>
      <c r="O87" s="7"/>
      <c r="P87" s="7"/>
    </row>
    <row r="88" spans="1:16" ht="38" customHeight="1" thickBot="1">
      <c r="A88" s="258" t="s">
        <v>164</v>
      </c>
      <c r="B88" s="259" t="s">
        <v>92</v>
      </c>
      <c r="C88" s="250" t="s">
        <v>53</v>
      </c>
      <c r="D88" s="260" t="s">
        <v>54</v>
      </c>
      <c r="E88" s="260" t="s">
        <v>55</v>
      </c>
      <c r="F88" s="250"/>
      <c r="G88" s="147" t="s">
        <v>159</v>
      </c>
    </row>
    <row r="89" spans="1:16" ht="20" customHeight="1">
      <c r="A89" s="255" t="str">
        <f>'BASE PAX'!A64</f>
        <v>COORDENAÇÃO PRODUÇÃO</v>
      </c>
      <c r="B89" s="256">
        <f>'BASE PAX'!B64</f>
        <v>0</v>
      </c>
      <c r="C89" s="257">
        <f>'BASE PAX'!C64</f>
        <v>50000</v>
      </c>
      <c r="D89" s="257">
        <f>'BASE PAX'!D64</f>
        <v>0</v>
      </c>
      <c r="E89" s="121">
        <f>D89*B89</f>
        <v>0</v>
      </c>
      <c r="F89" s="257"/>
      <c r="G89" s="199">
        <f t="shared" ref="G89:G94" si="15">E89*0.2</f>
        <v>0</v>
      </c>
    </row>
    <row r="90" spans="1:16" ht="20" customHeight="1">
      <c r="A90" s="251" t="str">
        <f>'BASE PAX'!A65</f>
        <v>EXTRA MÃO DE OBRA</v>
      </c>
      <c r="B90" s="256">
        <f>'BASE PAX'!B65</f>
        <v>0</v>
      </c>
      <c r="C90" s="253">
        <f>'BASE PAX'!C65</f>
        <v>50000</v>
      </c>
      <c r="D90" s="253">
        <f>'BASE PAX'!D65</f>
        <v>0</v>
      </c>
      <c r="E90" s="121">
        <f t="shared" ref="E90:E94" si="16">D90*B90</f>
        <v>0</v>
      </c>
      <c r="F90" s="253"/>
      <c r="G90" s="199">
        <f t="shared" si="15"/>
        <v>0</v>
      </c>
    </row>
    <row r="91" spans="1:16" ht="20" customHeight="1">
      <c r="A91" s="251" t="str">
        <f>'BASE PAX'!A66</f>
        <v>TAXA LIMPEZA CHECK IN / CHECKOUT</v>
      </c>
      <c r="B91" s="252">
        <f>'BASE PAX'!B66</f>
        <v>0</v>
      </c>
      <c r="C91" s="253">
        <f>'BASE PAX'!C66</f>
        <v>40000</v>
      </c>
      <c r="D91" s="253">
        <f>'BASE PAX'!D66</f>
        <v>0</v>
      </c>
      <c r="E91" s="121">
        <f t="shared" si="16"/>
        <v>0</v>
      </c>
      <c r="F91" s="253"/>
      <c r="G91" s="199">
        <f t="shared" si="15"/>
        <v>0</v>
      </c>
    </row>
    <row r="92" spans="1:16" ht="20" customHeight="1">
      <c r="A92" s="251" t="str">
        <f>'BASE PAX'!A67</f>
        <v>TAXA LIMPEZA DIARIA</v>
      </c>
      <c r="B92" s="254">
        <f>'BASE PAX'!B67</f>
        <v>0</v>
      </c>
      <c r="C92" s="253">
        <f>'BASE PAX'!C67</f>
        <v>30000</v>
      </c>
      <c r="D92" s="253">
        <f>'BASE PAX'!D67</f>
        <v>0</v>
      </c>
      <c r="E92" s="121">
        <f t="shared" si="16"/>
        <v>0</v>
      </c>
      <c r="F92" s="253"/>
      <c r="G92" s="199">
        <f t="shared" si="15"/>
        <v>0</v>
      </c>
    </row>
    <row r="93" spans="1:16" ht="20" customHeight="1">
      <c r="A93" s="251" t="str">
        <f>'BASE PAX'!A68</f>
        <v>SOUVENIR</v>
      </c>
      <c r="B93" s="252">
        <f>'BASE PAX'!B68</f>
        <v>0</v>
      </c>
      <c r="C93" s="253">
        <f>'BASE PAX'!C68</f>
        <v>15000</v>
      </c>
      <c r="D93" s="253">
        <f>'BASE PAX'!D68</f>
        <v>0</v>
      </c>
      <c r="E93" s="121">
        <f t="shared" si="16"/>
        <v>0</v>
      </c>
      <c r="F93" s="253"/>
      <c r="G93" s="199">
        <f t="shared" si="15"/>
        <v>0</v>
      </c>
    </row>
    <row r="94" spans="1:16" ht="20" customHeight="1" thickBot="1">
      <c r="A94" s="251" t="str">
        <f>'BASE PAX'!A69</f>
        <v>ASSISTENTE COORDENAÇÃO</v>
      </c>
      <c r="B94" s="256">
        <f>'BASE PAX'!B69</f>
        <v>0</v>
      </c>
      <c r="C94" s="253">
        <f>'BASE PAX'!C69</f>
        <v>30000</v>
      </c>
      <c r="D94" s="253">
        <f>'BASE PAX'!D69</f>
        <v>0</v>
      </c>
      <c r="E94" s="121">
        <f t="shared" si="16"/>
        <v>0</v>
      </c>
      <c r="F94" s="253"/>
      <c r="G94" s="199">
        <f t="shared" si="15"/>
        <v>0</v>
      </c>
    </row>
    <row r="95" spans="1:16" ht="41" customHeight="1" thickBot="1">
      <c r="A95" s="25" t="s">
        <v>101</v>
      </c>
      <c r="B95" s="83"/>
      <c r="C95" s="134"/>
      <c r="D95" s="134"/>
      <c r="E95" s="135">
        <f>SUM(E89:E94)</f>
        <v>0</v>
      </c>
      <c r="F95" s="135"/>
      <c r="G95" s="203">
        <f>SUM(G89:G94)</f>
        <v>0</v>
      </c>
    </row>
    <row r="96" spans="1:16" s="8" customFormat="1" ht="11" customHeight="1" thickBot="1">
      <c r="A96" s="16"/>
      <c r="B96" s="56"/>
      <c r="C96" s="105"/>
      <c r="D96" s="102"/>
      <c r="E96" s="102"/>
      <c r="F96" s="7"/>
      <c r="G96" s="17"/>
      <c r="H96" s="7"/>
      <c r="I96" s="7"/>
      <c r="J96" s="7"/>
      <c r="K96" s="7"/>
      <c r="L96" s="7"/>
      <c r="M96" s="7"/>
      <c r="N96" s="7"/>
      <c r="O96" s="7"/>
      <c r="P96" s="7"/>
    </row>
    <row r="97" spans="1:16" ht="38" customHeight="1" thickBot="1">
      <c r="A97" s="26" t="s">
        <v>165</v>
      </c>
      <c r="B97" s="27" t="s">
        <v>92</v>
      </c>
      <c r="C97" s="136" t="s">
        <v>53</v>
      </c>
      <c r="D97" s="136" t="s">
        <v>54</v>
      </c>
      <c r="E97" s="137" t="s">
        <v>55</v>
      </c>
      <c r="F97" s="20"/>
      <c r="G97" s="20"/>
    </row>
    <row r="98" spans="1:16" ht="23" customHeight="1" thickBot="1">
      <c r="A98" s="84" t="str">
        <f>'BASE PAX'!A73</f>
        <v xml:space="preserve">QUINCHO DAY USE / CABIN </v>
      </c>
      <c r="B98" s="85">
        <f>'BASE PAX'!B73</f>
        <v>0</v>
      </c>
      <c r="C98" s="138">
        <f>'BASE PAX'!C73</f>
        <v>15000</v>
      </c>
      <c r="D98" s="138">
        <f>C98+(C98*0.2)</f>
        <v>18000</v>
      </c>
      <c r="E98" s="139">
        <f>D98*B98</f>
        <v>0</v>
      </c>
      <c r="F98" s="19"/>
      <c r="G98" s="17"/>
    </row>
    <row r="99" spans="1:16" ht="42" customHeight="1" thickBot="1">
      <c r="A99" s="26" t="s">
        <v>104</v>
      </c>
      <c r="B99" s="86"/>
      <c r="C99" s="140"/>
      <c r="D99" s="140"/>
      <c r="E99" s="141">
        <f>E98</f>
        <v>0</v>
      </c>
    </row>
    <row r="100" spans="1:16" s="6" customFormat="1" ht="20" customHeight="1">
      <c r="A100" s="28"/>
      <c r="B100" s="52"/>
      <c r="C100" s="11"/>
      <c r="D100" s="11"/>
      <c r="E100" s="11"/>
      <c r="F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9" customHeight="1"/>
  </sheetData>
  <sheetProtection sheet="1" objects="1" scenarios="1"/>
  <mergeCells count="17">
    <mergeCell ref="A11:A12"/>
    <mergeCell ref="A28:D28"/>
    <mergeCell ref="B5:C5"/>
    <mergeCell ref="F20:F21"/>
    <mergeCell ref="B11:B12"/>
    <mergeCell ref="D11:D12"/>
    <mergeCell ref="B9:C9"/>
    <mergeCell ref="D9:E9"/>
    <mergeCell ref="B8:C8"/>
    <mergeCell ref="D8:E8"/>
    <mergeCell ref="D6:E6"/>
    <mergeCell ref="B6:C6"/>
    <mergeCell ref="I11:K11"/>
    <mergeCell ref="D7:E7"/>
    <mergeCell ref="B7:C7"/>
    <mergeCell ref="F11:G13"/>
    <mergeCell ref="G20:G21"/>
  </mergeCells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P101"/>
  <sheetViews>
    <sheetView topLeftCell="A8" zoomScale="120" zoomScaleNormal="120" workbookViewId="0">
      <selection activeCell="C92" sqref="C92"/>
    </sheetView>
  </sheetViews>
  <sheetFormatPr baseColWidth="10" defaultColWidth="11" defaultRowHeight="17"/>
  <cols>
    <col min="1" max="1" width="48.796875" style="7" customWidth="1"/>
    <col min="2" max="2" width="23.796875" style="52" customWidth="1"/>
    <col min="3" max="3" width="24" style="7" customWidth="1"/>
    <col min="4" max="4" width="22.796875" style="12" customWidth="1"/>
    <col min="5" max="5" width="22.19921875" style="11" customWidth="1"/>
    <col min="6" max="6" width="33.796875" style="7" customWidth="1"/>
    <col min="7" max="7" width="27.796875" style="6" customWidth="1"/>
    <col min="8" max="8" width="32.3984375" style="7" customWidth="1"/>
    <col min="9" max="9" width="23.59765625" style="7" customWidth="1"/>
    <col min="10" max="10" width="25.19921875" style="7" customWidth="1"/>
    <col min="11" max="11" width="28.796875" style="7" customWidth="1"/>
    <col min="12" max="12" width="36.19921875" style="7" customWidth="1"/>
    <col min="13" max="28" width="11" style="7" customWidth="1"/>
    <col min="29" max="16384" width="11" style="7"/>
  </cols>
  <sheetData>
    <row r="1" spans="1:16" ht="22" hidden="1" customHeight="1" thickBot="1"/>
    <row r="2" spans="1:16" ht="7" customHeight="1">
      <c r="D2" s="13"/>
    </row>
    <row r="3" spans="1:16" s="10" customFormat="1" ht="1" customHeight="1">
      <c r="A3" s="14"/>
      <c r="B3" s="53"/>
      <c r="C3" s="15" t="s">
        <v>11</v>
      </c>
      <c r="D3" s="15"/>
      <c r="E3" s="15"/>
      <c r="G3" s="9"/>
    </row>
    <row r="4" spans="1:16" s="10" customFormat="1" ht="19" customHeight="1">
      <c r="A4" s="14"/>
      <c r="B4" s="53"/>
      <c r="C4" s="15"/>
      <c r="D4" s="15"/>
      <c r="E4" s="15"/>
      <c r="G4" s="9"/>
    </row>
    <row r="5" spans="1:16" s="10" customFormat="1" ht="49" customHeight="1">
      <c r="A5" s="54" t="s">
        <v>129</v>
      </c>
      <c r="B5" s="674">
        <v>2</v>
      </c>
      <c r="C5" s="675"/>
      <c r="D5" s="277"/>
      <c r="E5" s="277" t="s">
        <v>13</v>
      </c>
      <c r="F5" s="278"/>
      <c r="G5" s="9"/>
    </row>
    <row r="6" spans="1:16" s="8" customFormat="1" ht="37" customHeight="1">
      <c r="A6" s="54" t="s">
        <v>130</v>
      </c>
      <c r="B6" s="683">
        <v>0</v>
      </c>
      <c r="C6" s="684"/>
      <c r="D6" s="682" t="s">
        <v>131</v>
      </c>
      <c r="E6" s="661"/>
      <c r="F6" s="106">
        <f>D21</f>
        <v>0</v>
      </c>
      <c r="G6" s="9"/>
      <c r="H6" s="10"/>
    </row>
    <row r="7" spans="1:16" s="8" customFormat="1" ht="33" customHeight="1">
      <c r="A7" s="55" t="s">
        <v>132</v>
      </c>
      <c r="B7" s="662">
        <f>CALENDAR!C2</f>
        <v>0</v>
      </c>
      <c r="C7" s="661"/>
      <c r="D7" s="660" t="s">
        <v>133</v>
      </c>
      <c r="E7" s="661"/>
      <c r="F7" s="107">
        <f>SUM(F12:F20)</f>
        <v>0</v>
      </c>
      <c r="G7" s="9"/>
      <c r="H7" s="10"/>
    </row>
    <row r="8" spans="1:16" s="8" customFormat="1" ht="31" customHeight="1">
      <c r="A8" s="54" t="s">
        <v>134</v>
      </c>
      <c r="B8" s="680">
        <f>CALENDAR!C3</f>
        <v>0</v>
      </c>
      <c r="C8" s="661"/>
      <c r="D8" s="681" t="s">
        <v>135</v>
      </c>
      <c r="E8" s="661"/>
      <c r="F8" s="108">
        <f>F6-F7</f>
        <v>0</v>
      </c>
      <c r="G8" s="9"/>
      <c r="H8" s="10"/>
    </row>
    <row r="9" spans="1:16" s="8" customFormat="1" ht="32" customHeight="1">
      <c r="A9" s="55" t="s">
        <v>136</v>
      </c>
      <c r="B9" s="678">
        <f>CALENDAR!J2</f>
        <v>0</v>
      </c>
      <c r="C9" s="661"/>
      <c r="D9" s="679" t="s">
        <v>137</v>
      </c>
      <c r="E9" s="661"/>
      <c r="F9" s="1"/>
      <c r="G9" s="9"/>
      <c r="H9" s="10"/>
    </row>
    <row r="10" spans="1:16" s="8" customFormat="1" ht="30" customHeight="1" thickBot="1">
      <c r="A10" s="16"/>
      <c r="B10" s="56"/>
      <c r="C10" s="6"/>
      <c r="D10" s="7"/>
      <c r="E10" s="7"/>
      <c r="F10" s="7"/>
      <c r="G10" s="17"/>
      <c r="H10" s="7"/>
      <c r="I10" s="7"/>
      <c r="J10" s="7"/>
      <c r="K10" s="7"/>
      <c r="L10" s="7"/>
      <c r="M10" s="7"/>
      <c r="N10" s="7"/>
      <c r="O10" s="7"/>
      <c r="P10" s="7"/>
    </row>
    <row r="11" spans="1:16" s="6" customFormat="1" ht="44" customHeight="1" thickBot="1">
      <c r="A11" s="671" t="s">
        <v>138</v>
      </c>
      <c r="B11" s="677" t="s">
        <v>139</v>
      </c>
      <c r="C11" s="57" t="s">
        <v>140</v>
      </c>
      <c r="D11" s="677" t="s">
        <v>141</v>
      </c>
      <c r="E11" s="7"/>
      <c r="F11" s="738" t="str">
        <f>E5</f>
        <v>CHAITEN</v>
      </c>
      <c r="G11" s="664"/>
      <c r="H11" s="7"/>
      <c r="I11" s="658" t="s">
        <v>142</v>
      </c>
      <c r="J11" s="659"/>
      <c r="K11" s="659"/>
      <c r="L11" s="7"/>
      <c r="M11" s="7"/>
      <c r="N11" s="7"/>
      <c r="O11" s="7"/>
      <c r="P11" s="7"/>
    </row>
    <row r="12" spans="1:16" s="6" customFormat="1" ht="32" customHeight="1">
      <c r="A12" s="659"/>
      <c r="B12" s="659"/>
      <c r="C12" s="58">
        <v>0.05</v>
      </c>
      <c r="D12" s="659"/>
      <c r="E12" s="7"/>
      <c r="F12" s="665"/>
      <c r="G12" s="666"/>
      <c r="H12" s="7"/>
      <c r="I12" s="59" t="s">
        <v>126</v>
      </c>
      <c r="J12" s="60" t="s">
        <v>143</v>
      </c>
      <c r="K12" s="60" t="s">
        <v>144</v>
      </c>
      <c r="L12" s="7"/>
      <c r="M12" s="7"/>
      <c r="N12" s="7"/>
      <c r="O12" s="7"/>
      <c r="P12" s="7"/>
    </row>
    <row r="13" spans="1:16" ht="22" customHeight="1" thickBot="1">
      <c r="A13" s="61" t="s">
        <v>15</v>
      </c>
      <c r="B13" s="109">
        <f>G28</f>
        <v>0</v>
      </c>
      <c r="C13" s="109">
        <f t="shared" ref="C13:C20" si="0">B13*$C$12</f>
        <v>0</v>
      </c>
      <c r="D13" s="109">
        <f t="shared" ref="D13:D20" si="1">B13+(B13*$C$12)</f>
        <v>0</v>
      </c>
      <c r="E13" s="7"/>
      <c r="F13" s="667"/>
      <c r="G13" s="668"/>
      <c r="I13" s="3"/>
      <c r="J13" s="4"/>
      <c r="K13" s="5"/>
    </row>
    <row r="14" spans="1:16" s="6" customFormat="1" ht="20" customHeight="1">
      <c r="A14" s="62" t="s">
        <v>16</v>
      </c>
      <c r="B14" s="110">
        <f>J49</f>
        <v>0</v>
      </c>
      <c r="C14" s="110">
        <f t="shared" si="0"/>
        <v>0</v>
      </c>
      <c r="D14" s="110">
        <f t="shared" si="1"/>
        <v>0</v>
      </c>
      <c r="E14" s="7"/>
      <c r="F14" s="271" t="str">
        <f t="shared" ref="F14:F19" si="2">A14</f>
        <v>2.FOOD</v>
      </c>
      <c r="G14" s="261">
        <f>G49</f>
        <v>0</v>
      </c>
      <c r="H14" s="7"/>
      <c r="I14" s="3"/>
      <c r="J14" s="4"/>
      <c r="K14" s="5"/>
      <c r="L14" s="7"/>
      <c r="M14" s="7"/>
      <c r="N14" s="7"/>
      <c r="O14" s="7"/>
      <c r="P14" s="7"/>
    </row>
    <row r="15" spans="1:16" s="6" customFormat="1" ht="20" customHeight="1">
      <c r="A15" s="63" t="s">
        <v>17</v>
      </c>
      <c r="B15" s="111">
        <f>E59</f>
        <v>0</v>
      </c>
      <c r="C15" s="111">
        <f t="shared" si="0"/>
        <v>0</v>
      </c>
      <c r="D15" s="111">
        <f t="shared" si="1"/>
        <v>0</v>
      </c>
      <c r="E15" s="7"/>
      <c r="F15" s="272" t="str">
        <f t="shared" si="2"/>
        <v>3.DRINKS</v>
      </c>
      <c r="G15" s="262">
        <f>G59</f>
        <v>0</v>
      </c>
      <c r="H15" s="7"/>
      <c r="I15" s="3"/>
      <c r="J15" s="4"/>
      <c r="K15" s="5"/>
      <c r="L15" s="7"/>
      <c r="M15" s="7"/>
      <c r="N15" s="7"/>
      <c r="O15" s="7"/>
      <c r="P15" s="7"/>
    </row>
    <row r="16" spans="1:16" s="6" customFormat="1" ht="20" customHeight="1">
      <c r="A16" s="55" t="s">
        <v>18</v>
      </c>
      <c r="B16" s="112">
        <f>$E$72</f>
        <v>0</v>
      </c>
      <c r="C16" s="112">
        <f t="shared" si="0"/>
        <v>0</v>
      </c>
      <c r="D16" s="112">
        <f t="shared" si="1"/>
        <v>0</v>
      </c>
      <c r="E16" s="7"/>
      <c r="F16" s="273" t="str">
        <f t="shared" si="2"/>
        <v>4. ACTIVITIES</v>
      </c>
      <c r="G16" s="263">
        <f>G72</f>
        <v>0</v>
      </c>
      <c r="H16" s="7"/>
      <c r="I16" s="3"/>
      <c r="J16" s="4"/>
      <c r="K16" s="5"/>
      <c r="L16" s="7"/>
      <c r="M16" s="7"/>
      <c r="N16" s="7"/>
      <c r="O16" s="7"/>
      <c r="P16" s="7"/>
    </row>
    <row r="17" spans="1:16" s="6" customFormat="1" ht="20" customHeight="1">
      <c r="A17" s="63" t="s">
        <v>19</v>
      </c>
      <c r="B17" s="111">
        <f>$E$80</f>
        <v>0</v>
      </c>
      <c r="C17" s="111">
        <f t="shared" si="0"/>
        <v>0</v>
      </c>
      <c r="D17" s="111">
        <f t="shared" si="1"/>
        <v>0</v>
      </c>
      <c r="E17" s="7"/>
      <c r="F17" s="274" t="str">
        <f t="shared" si="2"/>
        <v>5.TRANSPORT</v>
      </c>
      <c r="G17" s="174">
        <f>G80</f>
        <v>0</v>
      </c>
      <c r="H17" s="7"/>
      <c r="I17" s="3"/>
      <c r="J17" s="4"/>
      <c r="K17" s="5"/>
      <c r="L17" s="7"/>
      <c r="M17" s="7"/>
      <c r="N17" s="7"/>
      <c r="O17" s="7"/>
      <c r="P17" s="7"/>
    </row>
    <row r="18" spans="1:16" s="6" customFormat="1" ht="20" customHeight="1">
      <c r="A18" s="64" t="s">
        <v>20</v>
      </c>
      <c r="B18" s="113">
        <f>$E$86</f>
        <v>0</v>
      </c>
      <c r="C18" s="113">
        <f t="shared" si="0"/>
        <v>0</v>
      </c>
      <c r="D18" s="113">
        <f t="shared" si="1"/>
        <v>0</v>
      </c>
      <c r="E18" s="10"/>
      <c r="F18" s="275" t="str">
        <f t="shared" si="2"/>
        <v>6.EXPERIENCES</v>
      </c>
      <c r="G18" s="264">
        <f>G86</f>
        <v>0</v>
      </c>
      <c r="H18" s="7"/>
      <c r="I18" s="3"/>
      <c r="J18" s="4"/>
      <c r="K18" s="5"/>
      <c r="L18" s="7"/>
      <c r="M18" s="7"/>
      <c r="N18" s="7"/>
      <c r="O18" s="7"/>
      <c r="P18" s="7"/>
    </row>
    <row r="19" spans="1:16" s="6" customFormat="1" ht="20" customHeight="1">
      <c r="A19" s="65" t="s">
        <v>21</v>
      </c>
      <c r="B19" s="114">
        <f>$E$95</f>
        <v>0</v>
      </c>
      <c r="C19" s="114">
        <f t="shared" si="0"/>
        <v>0</v>
      </c>
      <c r="D19" s="114">
        <f t="shared" si="1"/>
        <v>0</v>
      </c>
      <c r="E19" s="7"/>
      <c r="F19" s="276" t="str">
        <f t="shared" si="2"/>
        <v>7.EXTRAS</v>
      </c>
      <c r="G19" s="151">
        <f>G95</f>
        <v>0</v>
      </c>
      <c r="H19" s="7"/>
      <c r="I19" s="3"/>
      <c r="J19" s="4"/>
      <c r="K19" s="5"/>
      <c r="L19" s="7"/>
      <c r="M19" s="7"/>
      <c r="N19" s="7"/>
      <c r="O19" s="7"/>
      <c r="P19" s="7"/>
    </row>
    <row r="20" spans="1:16" s="6" customFormat="1" ht="20" customHeight="1" thickBot="1">
      <c r="A20" s="66" t="s">
        <v>22</v>
      </c>
      <c r="B20" s="115">
        <f>$E$99</f>
        <v>0</v>
      </c>
      <c r="C20" s="115">
        <f t="shared" si="0"/>
        <v>0</v>
      </c>
      <c r="D20" s="115">
        <f t="shared" si="1"/>
        <v>0</v>
      </c>
      <c r="E20" s="7"/>
      <c r="F20" s="676" t="s">
        <v>145</v>
      </c>
      <c r="G20" s="669">
        <f>G14+G15+G16+G17+G18+G19</f>
        <v>0</v>
      </c>
      <c r="H20" s="7"/>
      <c r="I20" s="3"/>
      <c r="J20" s="4"/>
      <c r="K20" s="5"/>
      <c r="L20" s="7"/>
      <c r="M20" s="7"/>
      <c r="N20" s="7"/>
      <c r="O20" s="7"/>
      <c r="P20" s="7"/>
    </row>
    <row r="21" spans="1:16" ht="35" customHeight="1" thickBot="1">
      <c r="A21" s="67" t="s">
        <v>146</v>
      </c>
      <c r="B21" s="116">
        <f>SUM(B13:B20)</f>
        <v>0</v>
      </c>
      <c r="C21" s="116"/>
      <c r="D21" s="116">
        <f>SUM(D13:D20)</f>
        <v>0</v>
      </c>
      <c r="E21" s="51"/>
      <c r="F21" s="670"/>
      <c r="G21" s="670"/>
    </row>
    <row r="22" spans="1:16" s="8" customFormat="1" ht="11" customHeight="1" thickBot="1">
      <c r="A22" s="16"/>
      <c r="B22" s="56"/>
      <c r="C22" s="6"/>
      <c r="D22" s="7"/>
      <c r="E22" s="7"/>
      <c r="F22" s="7"/>
      <c r="G22" s="17"/>
      <c r="H22" s="7"/>
      <c r="I22" s="7"/>
      <c r="J22" s="7"/>
      <c r="K22" s="7"/>
      <c r="L22" s="7"/>
      <c r="M22" s="7"/>
      <c r="N22" s="7"/>
      <c r="O22" s="7"/>
      <c r="P22" s="7"/>
    </row>
    <row r="23" spans="1:16" ht="44" customHeight="1" thickBot="1">
      <c r="A23" s="68" t="s">
        <v>114</v>
      </c>
      <c r="B23" s="69" t="s">
        <v>52</v>
      </c>
      <c r="C23" s="69" t="s">
        <v>147</v>
      </c>
      <c r="D23" s="69" t="s">
        <v>148</v>
      </c>
      <c r="E23" s="70" t="s">
        <v>149</v>
      </c>
      <c r="F23" s="70" t="s">
        <v>150</v>
      </c>
      <c r="G23" s="70" t="s">
        <v>151</v>
      </c>
    </row>
    <row r="24" spans="1:16" ht="20" customHeight="1">
      <c r="A24" s="71" t="s">
        <v>170</v>
      </c>
      <c r="B24" s="93">
        <v>1</v>
      </c>
      <c r="C24" s="117">
        <f>288190.9</f>
        <v>288190.90000000002</v>
      </c>
      <c r="D24" s="118"/>
      <c r="E24" s="119">
        <f>(C24+D24)*$B$9*B24</f>
        <v>0</v>
      </c>
      <c r="F24" s="2">
        <v>0</v>
      </c>
      <c r="G24" s="119">
        <f>E24-(E24*F24)</f>
        <v>0</v>
      </c>
    </row>
    <row r="25" spans="1:16" ht="20" customHeight="1">
      <c r="A25" s="71" t="s">
        <v>171</v>
      </c>
      <c r="B25" s="93">
        <v>0</v>
      </c>
      <c r="C25" s="117">
        <f>288190.9</f>
        <v>288190.90000000002</v>
      </c>
      <c r="D25" s="118">
        <v>50000</v>
      </c>
      <c r="E25" s="119">
        <f>(C25+D25)*$B$9*B25</f>
        <v>0</v>
      </c>
      <c r="F25" s="2">
        <v>0</v>
      </c>
      <c r="G25" s="119">
        <f>E25-(E25*F25)</f>
        <v>0</v>
      </c>
    </row>
    <row r="26" spans="1:16" ht="20" customHeight="1">
      <c r="A26" s="71" t="s">
        <v>172</v>
      </c>
      <c r="B26" s="93">
        <v>0</v>
      </c>
      <c r="C26" s="117">
        <f>259371.81</f>
        <v>259371.81</v>
      </c>
      <c r="D26" s="118"/>
      <c r="E26" s="119">
        <f>(C26+D26)*$B$9*B26</f>
        <v>0</v>
      </c>
      <c r="F26" s="2">
        <v>0</v>
      </c>
      <c r="G26" s="119">
        <f>E26-(E26*F26)</f>
        <v>0</v>
      </c>
    </row>
    <row r="27" spans="1:16" ht="20" customHeight="1" thickBot="1">
      <c r="A27" s="71" t="s">
        <v>173</v>
      </c>
      <c r="B27" s="93">
        <v>0</v>
      </c>
      <c r="C27" s="117">
        <f>259371.81</f>
        <v>259371.81</v>
      </c>
      <c r="D27" s="118">
        <v>50000</v>
      </c>
      <c r="E27" s="119">
        <f>(C27+D27)*$B$9*B27</f>
        <v>0</v>
      </c>
      <c r="F27" s="2">
        <v>0</v>
      </c>
      <c r="G27" s="119">
        <f>E27-(E27*F27)</f>
        <v>0</v>
      </c>
    </row>
    <row r="28" spans="1:16" ht="29" customHeight="1" thickBot="1">
      <c r="A28" s="672" t="s">
        <v>156</v>
      </c>
      <c r="B28" s="673"/>
      <c r="C28" s="673"/>
      <c r="D28" s="673"/>
      <c r="E28" s="72"/>
      <c r="F28" s="73"/>
      <c r="G28" s="120">
        <f>SUM(G24:G27)</f>
        <v>0</v>
      </c>
    </row>
    <row r="29" spans="1:16" s="8" customFormat="1" ht="11" customHeight="1" thickBot="1">
      <c r="A29" s="16"/>
      <c r="B29" s="56"/>
      <c r="C29" s="6"/>
      <c r="D29" s="7"/>
      <c r="E29" s="7"/>
      <c r="F29" s="7"/>
      <c r="G29" s="17"/>
      <c r="H29" s="7"/>
      <c r="I29" s="286"/>
      <c r="J29" s="7"/>
      <c r="K29" s="7"/>
      <c r="L29" s="7"/>
      <c r="M29" s="7"/>
      <c r="N29" s="7"/>
      <c r="O29" s="7"/>
      <c r="P29" s="7"/>
    </row>
    <row r="30" spans="1:16" s="10" customFormat="1" ht="40" customHeight="1" thickBot="1">
      <c r="A30" s="18" t="s">
        <v>51</v>
      </c>
      <c r="B30" s="159" t="s">
        <v>52</v>
      </c>
      <c r="C30" s="160" t="s">
        <v>53</v>
      </c>
      <c r="D30" s="153" t="s">
        <v>54</v>
      </c>
      <c r="E30" s="149" t="s">
        <v>157</v>
      </c>
      <c r="F30" s="103" t="s">
        <v>158</v>
      </c>
      <c r="G30" s="147" t="s">
        <v>159</v>
      </c>
      <c r="I30" s="286"/>
    </row>
    <row r="31" spans="1:16" ht="20" customHeight="1" thickBot="1">
      <c r="A31" s="154" t="str">
        <f>'BASE PAX'!A6</f>
        <v>BREAKFAST</v>
      </c>
      <c r="B31" s="285">
        <f>(B5*B9*'BASE PAX'!G6)+('BASE PAX'!H6*B6*B9)</f>
        <v>0</v>
      </c>
      <c r="C31" s="121"/>
      <c r="D31" s="144"/>
      <c r="E31" s="283">
        <v>0</v>
      </c>
      <c r="F31" s="122">
        <f t="shared" ref="F31:F46" si="3">B31*C31</f>
        <v>0</v>
      </c>
      <c r="G31" s="325">
        <f>0.2*B31</f>
        <v>0</v>
      </c>
      <c r="H31" s="351" t="str">
        <f>A31</f>
        <v>BREAKFAST</v>
      </c>
      <c r="I31" s="353">
        <f>B31</f>
        <v>0</v>
      </c>
    </row>
    <row r="32" spans="1:16" ht="20" customHeight="1">
      <c r="A32" s="155" t="str">
        <f>'BASE PAX'!A7</f>
        <v>LUNCH 1</v>
      </c>
      <c r="B32" s="74">
        <f>($B$5+$B$6)*'BASE PAX'!B7</f>
        <v>0</v>
      </c>
      <c r="C32" s="123">
        <f>'BASE PAX'!C7</f>
        <v>40000</v>
      </c>
      <c r="D32" s="125">
        <f>'BASE PAX'!D7</f>
        <v>48000</v>
      </c>
      <c r="E32" s="151">
        <f t="shared" ref="E32:E46" si="4">D32*B32</f>
        <v>0</v>
      </c>
      <c r="F32" s="124">
        <f t="shared" si="3"/>
        <v>0</v>
      </c>
      <c r="G32" s="146">
        <f t="shared" ref="G32:G46" si="5">E32-F32</f>
        <v>0</v>
      </c>
      <c r="I32" s="290"/>
    </row>
    <row r="33" spans="1:11" ht="20" customHeight="1">
      <c r="A33" s="155" t="str">
        <f>'BASE PAX'!A8</f>
        <v>LUNCH 2</v>
      </c>
      <c r="B33" s="74">
        <f>($B$5+$B$6)*'BASE PAX'!B8</f>
        <v>0</v>
      </c>
      <c r="C33" s="123">
        <f>'BASE PAX'!C8</f>
        <v>40000</v>
      </c>
      <c r="D33" s="125">
        <f>'BASE PAX'!D8</f>
        <v>48000</v>
      </c>
      <c r="E33" s="151">
        <f t="shared" si="4"/>
        <v>0</v>
      </c>
      <c r="F33" s="124">
        <f t="shared" si="3"/>
        <v>0</v>
      </c>
      <c r="G33" s="146">
        <f t="shared" si="5"/>
        <v>0</v>
      </c>
      <c r="I33" s="290"/>
    </row>
    <row r="34" spans="1:11" ht="20" customHeight="1">
      <c r="A34" s="155" t="str">
        <f>'BASE PAX'!A9</f>
        <v>LUNCH 3</v>
      </c>
      <c r="B34" s="74">
        <f>($B$5+$B$6)*'BASE PAX'!B9</f>
        <v>0</v>
      </c>
      <c r="C34" s="123">
        <f>'BASE PAX'!C9</f>
        <v>40000</v>
      </c>
      <c r="D34" s="125">
        <f>'BASE PAX'!D9</f>
        <v>48000</v>
      </c>
      <c r="E34" s="151">
        <f t="shared" si="4"/>
        <v>0</v>
      </c>
      <c r="F34" s="124">
        <f t="shared" si="3"/>
        <v>0</v>
      </c>
      <c r="G34" s="146">
        <f t="shared" si="5"/>
        <v>0</v>
      </c>
      <c r="I34" s="290"/>
    </row>
    <row r="35" spans="1:11" ht="20" customHeight="1">
      <c r="A35" s="155" t="str">
        <f>'BASE PAX'!A10</f>
        <v>LUNCH 4</v>
      </c>
      <c r="B35" s="74">
        <f>($B$5+$B$6)*'BASE PAX'!B10</f>
        <v>0</v>
      </c>
      <c r="C35" s="123">
        <f>'BASE PAX'!C10</f>
        <v>45000</v>
      </c>
      <c r="D35" s="125">
        <f>'BASE PAX'!D10</f>
        <v>54000</v>
      </c>
      <c r="E35" s="151">
        <f t="shared" si="4"/>
        <v>0</v>
      </c>
      <c r="F35" s="124">
        <f t="shared" si="3"/>
        <v>0</v>
      </c>
      <c r="G35" s="146">
        <f t="shared" si="5"/>
        <v>0</v>
      </c>
      <c r="I35" s="290"/>
    </row>
    <row r="36" spans="1:11" ht="20" customHeight="1">
      <c r="A36" s="155" t="str">
        <f>'BASE PAX'!A11</f>
        <v>LUNCH 5</v>
      </c>
      <c r="B36" s="74">
        <f>($B$5+$B$6)*'BASE PAX'!B11</f>
        <v>0</v>
      </c>
      <c r="C36" s="123">
        <f>'BASE PAX'!C11</f>
        <v>50000</v>
      </c>
      <c r="D36" s="125">
        <f>'BASE PAX'!D11</f>
        <v>60000</v>
      </c>
      <c r="E36" s="151">
        <f t="shared" si="4"/>
        <v>0</v>
      </c>
      <c r="F36" s="124">
        <f t="shared" si="3"/>
        <v>0</v>
      </c>
      <c r="G36" s="146">
        <f t="shared" si="5"/>
        <v>0</v>
      </c>
      <c r="I36" s="290"/>
    </row>
    <row r="37" spans="1:11" ht="20" customHeight="1">
      <c r="A37" s="155" t="str">
        <f>'BASE PAX'!A12</f>
        <v>LUNCH 6</v>
      </c>
      <c r="B37" s="74">
        <f>($B$5+$B$6)*'BASE PAX'!B12</f>
        <v>0</v>
      </c>
      <c r="C37" s="123">
        <f>'BASE PAX'!C12</f>
        <v>0</v>
      </c>
      <c r="D37" s="125">
        <f>'BASE PAX'!D12</f>
        <v>0</v>
      </c>
      <c r="E37" s="151">
        <f t="shared" si="4"/>
        <v>0</v>
      </c>
      <c r="F37" s="124">
        <f t="shared" si="3"/>
        <v>0</v>
      </c>
      <c r="G37" s="146">
        <f t="shared" si="5"/>
        <v>0</v>
      </c>
      <c r="I37" s="290"/>
    </row>
    <row r="38" spans="1:11" ht="20" customHeight="1">
      <c r="A38" s="155" t="str">
        <f>'BASE PAX'!A13</f>
        <v>LUNCH 7</v>
      </c>
      <c r="B38" s="74">
        <f>($B$5+$B$6)*'BASE PAX'!B13</f>
        <v>0</v>
      </c>
      <c r="C38" s="123">
        <f>'BASE PAX'!C13</f>
        <v>5000</v>
      </c>
      <c r="D38" s="125">
        <f>'BASE PAX'!D13</f>
        <v>6000</v>
      </c>
      <c r="E38" s="151">
        <f t="shared" si="4"/>
        <v>0</v>
      </c>
      <c r="F38" s="124">
        <f t="shared" si="3"/>
        <v>0</v>
      </c>
      <c r="G38" s="146">
        <f t="shared" si="5"/>
        <v>0</v>
      </c>
      <c r="I38" s="290"/>
    </row>
    <row r="39" spans="1:11" ht="20" customHeight="1">
      <c r="A39" s="156" t="str">
        <f>'BASE PAX'!A14</f>
        <v>SNACKS</v>
      </c>
      <c r="B39" s="75">
        <f>($B$5+$B$6)*'BASE PAX'!B14</f>
        <v>0</v>
      </c>
      <c r="C39" s="125">
        <f>'BASE PAX'!C14</f>
        <v>8000</v>
      </c>
      <c r="D39" s="145">
        <f>'BASE PAX'!D14</f>
        <v>9600</v>
      </c>
      <c r="E39" s="150">
        <f t="shared" si="4"/>
        <v>0</v>
      </c>
      <c r="F39" s="122">
        <f t="shared" si="3"/>
        <v>0</v>
      </c>
      <c r="G39" s="146">
        <f t="shared" si="5"/>
        <v>0</v>
      </c>
      <c r="I39" s="290"/>
    </row>
    <row r="40" spans="1:11" ht="20" customHeight="1">
      <c r="A40" s="155" t="str">
        <f>'BASE PAX'!A15</f>
        <v>DINNER 1</v>
      </c>
      <c r="B40" s="74">
        <f>($B$5+$B$6)*'BASE PAX'!B15</f>
        <v>0</v>
      </c>
      <c r="C40" s="123">
        <f>'BASE PAX'!C15</f>
        <v>70000</v>
      </c>
      <c r="D40" s="125">
        <f>'BASE PAX'!D15</f>
        <v>84000</v>
      </c>
      <c r="E40" s="151">
        <f t="shared" si="4"/>
        <v>0</v>
      </c>
      <c r="F40" s="124">
        <f t="shared" si="3"/>
        <v>0</v>
      </c>
      <c r="G40" s="146">
        <f t="shared" si="5"/>
        <v>0</v>
      </c>
      <c r="H40" s="287"/>
      <c r="I40" s="291"/>
    </row>
    <row r="41" spans="1:11" ht="20" customHeight="1">
      <c r="A41" s="155" t="str">
        <f>'BASE PAX'!A16</f>
        <v>DINNER 2</v>
      </c>
      <c r="B41" s="74">
        <f>($B$5+$B$6)*'BASE PAX'!B16</f>
        <v>0</v>
      </c>
      <c r="C41" s="123">
        <f>'BASE PAX'!C16</f>
        <v>25000</v>
      </c>
      <c r="D41" s="125">
        <f>'BASE PAX'!D16</f>
        <v>30000</v>
      </c>
      <c r="E41" s="151">
        <f t="shared" si="4"/>
        <v>0</v>
      </c>
      <c r="F41" s="124">
        <f t="shared" si="3"/>
        <v>0</v>
      </c>
      <c r="G41" s="146">
        <f t="shared" si="5"/>
        <v>0</v>
      </c>
      <c r="I41" s="290"/>
    </row>
    <row r="42" spans="1:11" ht="20" customHeight="1">
      <c r="A42" s="155" t="str">
        <f>'BASE PAX'!A17</f>
        <v>DINNER 3</v>
      </c>
      <c r="B42" s="74">
        <f>($B$5+$B$6)*'BASE PAX'!B17</f>
        <v>0</v>
      </c>
      <c r="C42" s="123">
        <f>'BASE PAX'!C17</f>
        <v>50000</v>
      </c>
      <c r="D42" s="125">
        <f>'BASE PAX'!D17</f>
        <v>60000</v>
      </c>
      <c r="E42" s="151">
        <f t="shared" si="4"/>
        <v>0</v>
      </c>
      <c r="F42" s="124">
        <f t="shared" si="3"/>
        <v>0</v>
      </c>
      <c r="G42" s="146">
        <f t="shared" si="5"/>
        <v>0</v>
      </c>
      <c r="I42" s="290"/>
    </row>
    <row r="43" spans="1:11" ht="20" customHeight="1">
      <c r="A43" s="155" t="str">
        <f>'BASE PAX'!A18</f>
        <v>DINNER 4</v>
      </c>
      <c r="B43" s="74">
        <f>($B$5+$B$6)*'BASE PAX'!B18</f>
        <v>0</v>
      </c>
      <c r="C43" s="123">
        <f>'BASE PAX'!C18</f>
        <v>65000</v>
      </c>
      <c r="D43" s="125">
        <f>'BASE PAX'!D18</f>
        <v>78000</v>
      </c>
      <c r="E43" s="151">
        <f t="shared" si="4"/>
        <v>0</v>
      </c>
      <c r="F43" s="124">
        <f t="shared" si="3"/>
        <v>0</v>
      </c>
      <c r="G43" s="146">
        <f t="shared" si="5"/>
        <v>0</v>
      </c>
      <c r="I43" s="9"/>
    </row>
    <row r="44" spans="1:11" ht="20" customHeight="1">
      <c r="A44" s="155" t="str">
        <f>'BASE PAX'!A19</f>
        <v>DINNER 5</v>
      </c>
      <c r="B44" s="74">
        <f>($B$5+$B$6)*'BASE PAX'!B19</f>
        <v>0</v>
      </c>
      <c r="C44" s="123">
        <f>'BASE PAX'!C19</f>
        <v>75000</v>
      </c>
      <c r="D44" s="125">
        <f>'BASE PAX'!D19</f>
        <v>90000</v>
      </c>
      <c r="E44" s="151">
        <f t="shared" si="4"/>
        <v>0</v>
      </c>
      <c r="F44" s="124">
        <f t="shared" si="3"/>
        <v>0</v>
      </c>
      <c r="G44" s="146">
        <f t="shared" si="5"/>
        <v>0</v>
      </c>
      <c r="I44" s="9"/>
    </row>
    <row r="45" spans="1:11" ht="20" customHeight="1">
      <c r="A45" s="155" t="str">
        <f>'BASE PAX'!A20</f>
        <v>DINNER 6</v>
      </c>
      <c r="B45" s="74">
        <f>($B$5+$B$6)*'BASE PAX'!B20</f>
        <v>0</v>
      </c>
      <c r="C45" s="123">
        <f>'BASE PAX'!C20</f>
        <v>0</v>
      </c>
      <c r="D45" s="125">
        <f>'BASE PAX'!D20</f>
        <v>0</v>
      </c>
      <c r="E45" s="151">
        <f t="shared" si="4"/>
        <v>0</v>
      </c>
      <c r="F45" s="124">
        <f t="shared" si="3"/>
        <v>0</v>
      </c>
      <c r="G45" s="146">
        <f t="shared" si="5"/>
        <v>0</v>
      </c>
      <c r="I45" s="9"/>
    </row>
    <row r="46" spans="1:11" ht="20" customHeight="1" thickBot="1">
      <c r="A46" s="155" t="str">
        <f>'BASE PAX'!A21</f>
        <v>DINNER 7</v>
      </c>
      <c r="B46" s="74">
        <f>($B$5+$B$6)*'BASE PAX'!B21</f>
        <v>0</v>
      </c>
      <c r="C46" s="123">
        <f>'BASE PAX'!C21</f>
        <v>75000</v>
      </c>
      <c r="D46" s="125">
        <f>'BASE PAX'!D21</f>
        <v>90000</v>
      </c>
      <c r="E46" s="151">
        <f t="shared" si="4"/>
        <v>0</v>
      </c>
      <c r="F46" s="124">
        <f t="shared" si="3"/>
        <v>0</v>
      </c>
      <c r="G46" s="146">
        <f t="shared" si="5"/>
        <v>0</v>
      </c>
      <c r="I46" s="10"/>
    </row>
    <row r="47" spans="1:11" ht="20" customHeight="1">
      <c r="A47" s="155" t="str">
        <f>'BASE PAX'!A22</f>
        <v>QUANT. TOTAL | PADRAO ALMOÇO</v>
      </c>
      <c r="B47" s="74">
        <f>'BASE PAX'!B22</f>
        <v>0</v>
      </c>
      <c r="C47" s="123"/>
      <c r="D47" s="125"/>
      <c r="E47" s="151"/>
      <c r="F47" s="124"/>
      <c r="G47" s="325">
        <f>0.2*I47</f>
        <v>0</v>
      </c>
      <c r="H47" s="338" t="str">
        <f>A47</f>
        <v>QUANT. TOTAL | PADRAO ALMOÇO</v>
      </c>
      <c r="I47" s="349">
        <f>(B5*B47*'BASE PAX'!G22)+(B6*B47*'BASE PAX'!H22)</f>
        <v>0</v>
      </c>
      <c r="J47" s="328"/>
      <c r="K47" s="329"/>
    </row>
    <row r="48" spans="1:11" ht="20" customHeight="1" thickBot="1">
      <c r="A48" s="163" t="str">
        <f>'BASE PAX'!A23</f>
        <v>QUANT. TOTAL | PADRAO JANTAR</v>
      </c>
      <c r="B48" s="164">
        <f>'BASE PAX'!B23</f>
        <v>0</v>
      </c>
      <c r="C48" s="165"/>
      <c r="D48" s="166"/>
      <c r="E48" s="167"/>
      <c r="F48" s="168"/>
      <c r="G48" s="326">
        <f>0.2*I48</f>
        <v>0</v>
      </c>
      <c r="H48" s="347" t="str">
        <f>A48</f>
        <v>QUANT. TOTAL | PADRAO JANTAR</v>
      </c>
      <c r="I48" s="335">
        <f>(B5*B48*'BASE PAX'!G23)+(B6*B48*'BASE PAX'!H23)</f>
        <v>0</v>
      </c>
      <c r="J48" s="330"/>
      <c r="K48" s="331"/>
    </row>
    <row r="49" spans="1:16" ht="29" customHeight="1" thickBot="1">
      <c r="A49" s="161" t="s">
        <v>72</v>
      </c>
      <c r="B49" s="157"/>
      <c r="C49" s="158"/>
      <c r="D49" s="303"/>
      <c r="E49" s="104">
        <f>SUM(E31:E48)</f>
        <v>0</v>
      </c>
      <c r="F49" s="104">
        <f>SUM(F31:F48)</f>
        <v>0</v>
      </c>
      <c r="G49" s="327">
        <f>SUM(G31:G48)</f>
        <v>0</v>
      </c>
      <c r="H49" s="341" t="s">
        <v>55</v>
      </c>
      <c r="I49" s="342">
        <f>I31+I47+I48</f>
        <v>0</v>
      </c>
      <c r="J49" s="358">
        <f>I49+E49</f>
        <v>0</v>
      </c>
      <c r="K49" s="332" t="s">
        <v>160</v>
      </c>
    </row>
    <row r="50" spans="1:16" s="8" customFormat="1" ht="11" customHeight="1" thickBot="1">
      <c r="A50" s="16"/>
      <c r="B50" s="56"/>
      <c r="C50" s="105"/>
      <c r="D50" s="102"/>
      <c r="E50" s="102"/>
      <c r="F50" s="7"/>
      <c r="G50" s="17"/>
      <c r="H50" s="7"/>
      <c r="I50" s="7"/>
      <c r="J50" s="7"/>
      <c r="K50" s="7"/>
      <c r="L50" s="7"/>
      <c r="M50" s="7"/>
      <c r="N50" s="7"/>
      <c r="O50" s="7"/>
      <c r="P50" s="7"/>
    </row>
    <row r="51" spans="1:16" ht="34" customHeight="1" thickBot="1">
      <c r="A51" s="21" t="s">
        <v>161</v>
      </c>
      <c r="B51" s="207" t="s">
        <v>52</v>
      </c>
      <c r="C51" s="208" t="s">
        <v>53</v>
      </c>
      <c r="D51" s="209" t="s">
        <v>54</v>
      </c>
      <c r="E51" s="172" t="s">
        <v>55</v>
      </c>
      <c r="F51" s="142" t="s">
        <v>158</v>
      </c>
      <c r="G51" s="182" t="s">
        <v>159</v>
      </c>
    </row>
    <row r="52" spans="1:16" ht="20" customHeight="1">
      <c r="A52" s="76" t="str">
        <f>'BASE PAX'!A27</f>
        <v>SUCOS</v>
      </c>
      <c r="B52" s="205">
        <f>'BASE PAX'!B27</f>
        <v>0</v>
      </c>
      <c r="C52" s="193">
        <f>'BASE PAX'!C27</f>
        <v>0</v>
      </c>
      <c r="D52" s="206">
        <f t="shared" ref="D52:D58" si="6">(C52*0.2)+C52</f>
        <v>0</v>
      </c>
      <c r="E52" s="174">
        <f t="shared" ref="E52:E58" si="7">D52*B52</f>
        <v>0</v>
      </c>
      <c r="F52" s="173">
        <f t="shared" ref="F52:F58" si="8">B52*C52</f>
        <v>0</v>
      </c>
      <c r="G52" s="183">
        <f t="shared" ref="G52:G59" si="9">E52-F52</f>
        <v>0</v>
      </c>
    </row>
    <row r="53" spans="1:16" ht="20" customHeight="1">
      <c r="A53" s="76" t="str">
        <f>'BASE PAX'!A28</f>
        <v>SUCOS</v>
      </c>
      <c r="B53" s="205">
        <f>'BASE PAX'!B28</f>
        <v>0</v>
      </c>
      <c r="C53" s="175">
        <f>'BASE PAX'!C28</f>
        <v>0</v>
      </c>
      <c r="D53" s="176">
        <f t="shared" si="6"/>
        <v>0</v>
      </c>
      <c r="E53" s="174">
        <f t="shared" si="7"/>
        <v>0</v>
      </c>
      <c r="F53" s="173">
        <f t="shared" si="8"/>
        <v>0</v>
      </c>
      <c r="G53" s="183">
        <f t="shared" si="9"/>
        <v>0</v>
      </c>
    </row>
    <row r="54" spans="1:16" ht="20" customHeight="1">
      <c r="A54" s="87" t="str">
        <f>'BASE PAX'!A29</f>
        <v>CERVEJAS</v>
      </c>
      <c r="B54" s="205">
        <f>'BASE PAX'!B29</f>
        <v>0</v>
      </c>
      <c r="C54" s="175">
        <f>'BASE PAX'!C29</f>
        <v>2000</v>
      </c>
      <c r="D54" s="176">
        <f t="shared" si="6"/>
        <v>2400</v>
      </c>
      <c r="E54" s="174">
        <f t="shared" si="7"/>
        <v>0</v>
      </c>
      <c r="F54" s="173">
        <f t="shared" si="8"/>
        <v>0</v>
      </c>
      <c r="G54" s="183">
        <f t="shared" si="9"/>
        <v>0</v>
      </c>
    </row>
    <row r="55" spans="1:16" ht="20" customHeight="1">
      <c r="A55" s="87" t="str">
        <f>'BASE PAX'!A30</f>
        <v>VINHOS</v>
      </c>
      <c r="B55" s="205">
        <f>'BASE PAX'!B30</f>
        <v>0</v>
      </c>
      <c r="C55" s="175">
        <f>'BASE PAX'!C30</f>
        <v>8000</v>
      </c>
      <c r="D55" s="176">
        <f t="shared" si="6"/>
        <v>9600</v>
      </c>
      <c r="E55" s="174">
        <f t="shared" si="7"/>
        <v>0</v>
      </c>
      <c r="F55" s="173">
        <f t="shared" si="8"/>
        <v>0</v>
      </c>
      <c r="G55" s="183">
        <f t="shared" si="9"/>
        <v>0</v>
      </c>
    </row>
    <row r="56" spans="1:16" ht="20" customHeight="1">
      <c r="A56" s="87" t="str">
        <f>'BASE PAX'!A31</f>
        <v>DRINKS</v>
      </c>
      <c r="B56" s="205">
        <f>'BASE PAX'!B31</f>
        <v>0</v>
      </c>
      <c r="C56" s="175">
        <f>'BASE PAX'!C31</f>
        <v>15000</v>
      </c>
      <c r="D56" s="176">
        <f t="shared" si="6"/>
        <v>18000</v>
      </c>
      <c r="E56" s="174">
        <f t="shared" si="7"/>
        <v>0</v>
      </c>
      <c r="F56" s="173">
        <f t="shared" si="8"/>
        <v>0</v>
      </c>
      <c r="G56" s="183">
        <f t="shared" si="9"/>
        <v>0</v>
      </c>
    </row>
    <row r="57" spans="1:16" ht="20" customHeight="1">
      <c r="A57" s="87" t="str">
        <f>'BASE PAX'!A32</f>
        <v>COOLER</v>
      </c>
      <c r="B57" s="205">
        <f>'BASE PAX'!B32</f>
        <v>0</v>
      </c>
      <c r="C57" s="175">
        <f>'BASE PAX'!C32</f>
        <v>5000</v>
      </c>
      <c r="D57" s="176">
        <f t="shared" si="6"/>
        <v>6000</v>
      </c>
      <c r="E57" s="174">
        <f t="shared" si="7"/>
        <v>0</v>
      </c>
      <c r="F57" s="173">
        <f t="shared" si="8"/>
        <v>0</v>
      </c>
      <c r="G57" s="183">
        <f t="shared" si="9"/>
        <v>0</v>
      </c>
    </row>
    <row r="58" spans="1:16" ht="20" customHeight="1" thickBot="1">
      <c r="A58" s="180">
        <f>'BASE PAX'!A33</f>
        <v>0</v>
      </c>
      <c r="B58" s="205">
        <f>'BASE PAX'!B33</f>
        <v>0</v>
      </c>
      <c r="C58" s="178">
        <f>'BASE PAX'!C33</f>
        <v>0</v>
      </c>
      <c r="D58" s="179">
        <f t="shared" si="6"/>
        <v>0</v>
      </c>
      <c r="E58" s="184">
        <f t="shared" si="7"/>
        <v>0</v>
      </c>
      <c r="F58" s="185">
        <f t="shared" si="8"/>
        <v>0</v>
      </c>
      <c r="G58" s="186">
        <f t="shared" si="9"/>
        <v>0</v>
      </c>
    </row>
    <row r="59" spans="1:16" ht="48" customHeight="1" thickBot="1">
      <c r="A59" s="21" t="s">
        <v>79</v>
      </c>
      <c r="B59" s="77"/>
      <c r="C59" s="126"/>
      <c r="D59" s="181"/>
      <c r="E59" s="127">
        <f>SUM(E52:E58)</f>
        <v>0</v>
      </c>
      <c r="F59" s="188">
        <f>SUM(F52:F58)</f>
        <v>0</v>
      </c>
      <c r="G59" s="189">
        <f t="shared" si="9"/>
        <v>0</v>
      </c>
    </row>
    <row r="60" spans="1:16" s="8" customFormat="1" ht="11" customHeight="1" thickBot="1">
      <c r="A60" s="16"/>
      <c r="B60" s="56"/>
      <c r="C60" s="105"/>
      <c r="D60" s="102"/>
      <c r="E60" s="102"/>
      <c r="F60" s="7"/>
      <c r="G60" s="17"/>
      <c r="H60" s="7"/>
      <c r="I60" s="7"/>
      <c r="J60" s="7"/>
      <c r="K60" s="7"/>
      <c r="L60" s="7"/>
      <c r="M60" s="7"/>
      <c r="N60" s="7"/>
      <c r="O60" s="7"/>
      <c r="P60" s="7"/>
    </row>
    <row r="61" spans="1:16" s="10" customFormat="1" ht="42" customHeight="1" thickBot="1">
      <c r="A61" s="226" t="s">
        <v>18</v>
      </c>
      <c r="B61" s="227" t="s">
        <v>52</v>
      </c>
      <c r="C61" s="228" t="s">
        <v>53</v>
      </c>
      <c r="D61" s="229" t="s">
        <v>54</v>
      </c>
      <c r="E61" s="229" t="s">
        <v>55</v>
      </c>
      <c r="F61" s="228" t="s">
        <v>158</v>
      </c>
      <c r="G61" s="230" t="s">
        <v>159</v>
      </c>
    </row>
    <row r="62" spans="1:16" ht="20" customHeight="1">
      <c r="A62" s="223" t="str">
        <f>'BASE PAX'!A37</f>
        <v>HOTTUBE</v>
      </c>
      <c r="B62" s="224">
        <f>'BASE PAX'!B37</f>
        <v>0</v>
      </c>
      <c r="C62" s="195">
        <f>'BASE PAX'!C37</f>
        <v>12000</v>
      </c>
      <c r="D62" s="225">
        <f t="shared" ref="D62:D71" si="10">C62*0.2+C62</f>
        <v>14400</v>
      </c>
      <c r="E62" s="225">
        <f t="shared" ref="E62:E71" si="11">D62*B62</f>
        <v>0</v>
      </c>
      <c r="F62" s="195">
        <f t="shared" ref="F62:F72" si="12">B62*C62</f>
        <v>0</v>
      </c>
      <c r="G62" s="194">
        <f t="shared" ref="G62:G72" si="13">E62-F62</f>
        <v>0</v>
      </c>
    </row>
    <row r="63" spans="1:16" ht="20" customHeight="1">
      <c r="A63" s="219" t="str">
        <f>'BASE PAX'!A38</f>
        <v>TREKKING 1/2 DAY</v>
      </c>
      <c r="B63" s="224">
        <f>'BASE PAX'!B38</f>
        <v>0</v>
      </c>
      <c r="C63" s="196">
        <f>'BASE PAX'!C38</f>
        <v>60000</v>
      </c>
      <c r="D63" s="220">
        <f t="shared" si="10"/>
        <v>72000</v>
      </c>
      <c r="E63" s="220">
        <f t="shared" si="11"/>
        <v>0</v>
      </c>
      <c r="F63" s="196">
        <f t="shared" si="12"/>
        <v>0</v>
      </c>
      <c r="G63" s="190">
        <f t="shared" si="13"/>
        <v>0</v>
      </c>
    </row>
    <row r="64" spans="1:16" ht="20" customHeight="1">
      <c r="A64" s="219" t="str">
        <f>'BASE PAX'!A39</f>
        <v>TREKKING FUK DAY</v>
      </c>
      <c r="B64" s="224">
        <f>'BASE PAX'!B39</f>
        <v>0</v>
      </c>
      <c r="C64" s="196">
        <f>'BASE PAX'!C39</f>
        <v>90000</v>
      </c>
      <c r="D64" s="220">
        <f t="shared" si="10"/>
        <v>108000</v>
      </c>
      <c r="E64" s="220">
        <f t="shared" si="11"/>
        <v>0</v>
      </c>
      <c r="F64" s="196">
        <f t="shared" si="12"/>
        <v>0</v>
      </c>
      <c r="G64" s="190">
        <f t="shared" si="13"/>
        <v>0</v>
      </c>
    </row>
    <row r="65" spans="1:16" ht="20" customHeight="1">
      <c r="A65" s="219" t="str">
        <f>'BASE PAX'!A40</f>
        <v>FLOTADA FAMILIAR</v>
      </c>
      <c r="B65" s="224">
        <f>'BASE PAX'!B40</f>
        <v>0</v>
      </c>
      <c r="C65" s="196">
        <f>'BASE PAX'!C40</f>
        <v>60000</v>
      </c>
      <c r="D65" s="220">
        <f t="shared" si="10"/>
        <v>72000</v>
      </c>
      <c r="E65" s="220">
        <f t="shared" si="11"/>
        <v>0</v>
      </c>
      <c r="F65" s="196">
        <f t="shared" si="12"/>
        <v>0</v>
      </c>
      <c r="G65" s="190">
        <f t="shared" si="13"/>
        <v>0</v>
      </c>
    </row>
    <row r="66" spans="1:16" ht="20" customHeight="1">
      <c r="A66" s="219" t="str">
        <f>'BASE PAX'!A41</f>
        <v>RAFTING 1/2 DAY</v>
      </c>
      <c r="B66" s="224">
        <f>'BASE PAX'!B41</f>
        <v>0</v>
      </c>
      <c r="C66" s="196">
        <f>'BASE PAX'!C41</f>
        <v>75000</v>
      </c>
      <c r="D66" s="220">
        <f t="shared" si="10"/>
        <v>90000</v>
      </c>
      <c r="E66" s="220">
        <f t="shared" si="11"/>
        <v>0</v>
      </c>
      <c r="F66" s="196">
        <f t="shared" si="12"/>
        <v>0</v>
      </c>
      <c r="G66" s="190">
        <f t="shared" si="13"/>
        <v>0</v>
      </c>
    </row>
    <row r="67" spans="1:16" ht="20" customHeight="1">
      <c r="A67" s="219" t="str">
        <f>'BASE PAX'!A42</f>
        <v>RAFTING FULL DAY</v>
      </c>
      <c r="B67" s="224">
        <f>'BASE PAX'!B42</f>
        <v>0</v>
      </c>
      <c r="C67" s="196">
        <f>'BASE PAX'!C42</f>
        <v>110000</v>
      </c>
      <c r="D67" s="220">
        <f t="shared" si="10"/>
        <v>132000</v>
      </c>
      <c r="E67" s="220">
        <f t="shared" si="11"/>
        <v>0</v>
      </c>
      <c r="F67" s="196">
        <f t="shared" si="12"/>
        <v>0</v>
      </c>
      <c r="G67" s="190">
        <f t="shared" si="13"/>
        <v>0</v>
      </c>
    </row>
    <row r="68" spans="1:16" ht="20" customHeight="1">
      <c r="A68" s="219" t="str">
        <f>'BASE PAX'!A43</f>
        <v>CABALGADA 1/2 DAy</v>
      </c>
      <c r="B68" s="224">
        <f>'BASE PAX'!B43</f>
        <v>0</v>
      </c>
      <c r="C68" s="196">
        <f>'BASE PAX'!C43</f>
        <v>90000</v>
      </c>
      <c r="D68" s="220">
        <f t="shared" si="10"/>
        <v>108000</v>
      </c>
      <c r="E68" s="220">
        <f t="shared" si="11"/>
        <v>0</v>
      </c>
      <c r="F68" s="196">
        <f t="shared" si="12"/>
        <v>0</v>
      </c>
      <c r="G68" s="190">
        <f t="shared" si="13"/>
        <v>0</v>
      </c>
    </row>
    <row r="69" spans="1:16" ht="20" customHeight="1">
      <c r="A69" s="219" t="str">
        <f>'BASE PAX'!A44</f>
        <v>CABALGADA FULL DAY</v>
      </c>
      <c r="B69" s="224">
        <f>'BASE PAX'!B44</f>
        <v>0</v>
      </c>
      <c r="C69" s="196">
        <f>'BASE PAX'!C44</f>
        <v>140000</v>
      </c>
      <c r="D69" s="220">
        <f t="shared" si="10"/>
        <v>168000</v>
      </c>
      <c r="E69" s="220">
        <f t="shared" si="11"/>
        <v>0</v>
      </c>
      <c r="F69" s="196">
        <f t="shared" si="12"/>
        <v>0</v>
      </c>
      <c r="G69" s="190">
        <f t="shared" si="13"/>
        <v>0</v>
      </c>
    </row>
    <row r="70" spans="1:16" ht="20" customHeight="1">
      <c r="A70" s="219" t="str">
        <f>'BASE PAX'!A45</f>
        <v>LANCHA YELCHO</v>
      </c>
      <c r="B70" s="224">
        <f>'BASE PAX'!B45</f>
        <v>0</v>
      </c>
      <c r="C70" s="196">
        <f>'BASE PAX'!C45</f>
        <v>120000</v>
      </c>
      <c r="D70" s="220">
        <f t="shared" si="10"/>
        <v>144000</v>
      </c>
      <c r="E70" s="220">
        <f t="shared" si="11"/>
        <v>0</v>
      </c>
      <c r="F70" s="196">
        <f t="shared" si="12"/>
        <v>0</v>
      </c>
      <c r="G70" s="190">
        <f t="shared" si="13"/>
        <v>0</v>
      </c>
    </row>
    <row r="71" spans="1:16" ht="20" customHeight="1" thickBot="1">
      <c r="A71" s="221" t="str">
        <f>'BASE PAX'!A46</f>
        <v>RECREACAO INFANTIL 3HS</v>
      </c>
      <c r="B71" s="224">
        <f>'BASE PAX'!B46</f>
        <v>0</v>
      </c>
      <c r="C71" s="197">
        <f>'BASE PAX'!C46</f>
        <v>30000</v>
      </c>
      <c r="D71" s="220">
        <f t="shared" si="10"/>
        <v>36000</v>
      </c>
      <c r="E71" s="222">
        <f t="shared" si="11"/>
        <v>0</v>
      </c>
      <c r="F71" s="197">
        <f t="shared" si="12"/>
        <v>0</v>
      </c>
      <c r="G71" s="192">
        <f t="shared" si="13"/>
        <v>0</v>
      </c>
    </row>
    <row r="72" spans="1:16" ht="48" customHeight="1" thickBot="1">
      <c r="A72" s="22" t="s">
        <v>84</v>
      </c>
      <c r="B72" s="79"/>
      <c r="C72" s="128"/>
      <c r="D72" s="128"/>
      <c r="E72" s="198">
        <f>SUM(E62:E71)</f>
        <v>0</v>
      </c>
      <c r="F72" s="204">
        <f t="shared" si="12"/>
        <v>0</v>
      </c>
      <c r="G72" s="203">
        <f t="shared" si="13"/>
        <v>0</v>
      </c>
    </row>
    <row r="73" spans="1:16" ht="37" customHeight="1" thickBot="1"/>
    <row r="74" spans="1:16" s="8" customFormat="1" ht="36" customHeight="1" thickBot="1">
      <c r="A74" s="23" t="s">
        <v>116</v>
      </c>
      <c r="B74" s="214" t="s">
        <v>52</v>
      </c>
      <c r="C74" s="215" t="s">
        <v>53</v>
      </c>
      <c r="D74" s="153" t="s">
        <v>54</v>
      </c>
      <c r="E74" s="153" t="s">
        <v>55</v>
      </c>
      <c r="F74" s="143" t="s">
        <v>162</v>
      </c>
      <c r="G74" s="147" t="s">
        <v>159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 ht="20" customHeight="1">
      <c r="A75" s="88" t="str">
        <f>'BASE PAX'!A50</f>
        <v>TRANSFER AEROPORTO CHEGADA</v>
      </c>
      <c r="B75" s="211">
        <f>'BASE PAX'!B50</f>
        <v>0</v>
      </c>
      <c r="C75" s="213">
        <f>'BASE PAX'!C50</f>
        <v>80000</v>
      </c>
      <c r="D75" s="231">
        <f>C75*0.2+C75</f>
        <v>96000</v>
      </c>
      <c r="E75" s="231">
        <f>D75*B75</f>
        <v>0</v>
      </c>
      <c r="F75" s="210">
        <f>B75*C75</f>
        <v>0</v>
      </c>
      <c r="G75" s="199">
        <f t="shared" ref="G75:G80" si="14">E75-F75</f>
        <v>0</v>
      </c>
    </row>
    <row r="76" spans="1:16" ht="20" customHeight="1">
      <c r="A76" s="88" t="str">
        <f>'BASE PAX'!A51</f>
        <v>TRANSFER AEROPORTO PARTIDA</v>
      </c>
      <c r="B76" s="211">
        <f>'BASE PAX'!B51</f>
        <v>0</v>
      </c>
      <c r="C76" s="212">
        <f>'BASE PAX'!C51</f>
        <v>80000</v>
      </c>
      <c r="D76" s="232">
        <f>C76*0.2+C76</f>
        <v>96000</v>
      </c>
      <c r="E76" s="232">
        <f>D76*B76</f>
        <v>0</v>
      </c>
      <c r="F76" s="210">
        <f>B76*C76</f>
        <v>0</v>
      </c>
      <c r="G76" s="200">
        <f t="shared" si="14"/>
        <v>0</v>
      </c>
    </row>
    <row r="77" spans="1:16" ht="20" customHeight="1">
      <c r="A77" s="88" t="str">
        <f>'BASE PAX'!A52</f>
        <v>TRANSFERS INTERNO</v>
      </c>
      <c r="B77" s="211">
        <f>'BASE PAX'!B52</f>
        <v>0</v>
      </c>
      <c r="C77" s="212">
        <f>'BASE PAX'!C52</f>
        <v>18000</v>
      </c>
      <c r="D77" s="232">
        <f>C77*0.2+C77</f>
        <v>21600</v>
      </c>
      <c r="E77" s="232">
        <f>D77*B77</f>
        <v>0</v>
      </c>
      <c r="F77" s="210">
        <f>B77*C77</f>
        <v>0</v>
      </c>
      <c r="G77" s="200">
        <f t="shared" si="14"/>
        <v>0</v>
      </c>
    </row>
    <row r="78" spans="1:16" ht="20" customHeight="1">
      <c r="A78" s="88" t="str">
        <f>'BASE PAX'!A53</f>
        <v>EXTRAS 1</v>
      </c>
      <c r="B78" s="211">
        <f>'BASE PAX'!B53</f>
        <v>0</v>
      </c>
      <c r="C78" s="212">
        <f>'BASE PAX'!C53</f>
        <v>150000</v>
      </c>
      <c r="D78" s="232">
        <f>C78*0.2+C78</f>
        <v>180000</v>
      </c>
      <c r="E78" s="232">
        <f>D78*B78</f>
        <v>0</v>
      </c>
      <c r="F78" s="210">
        <f>B78*C78</f>
        <v>0</v>
      </c>
      <c r="G78" s="200">
        <f t="shared" si="14"/>
        <v>0</v>
      </c>
    </row>
    <row r="79" spans="1:16" ht="20" customHeight="1" thickBot="1">
      <c r="A79" s="218" t="str">
        <f>'BASE PAX'!A54</f>
        <v>EXTRAS 2</v>
      </c>
      <c r="B79" s="211">
        <f>'BASE PAX'!B54</f>
        <v>0</v>
      </c>
      <c r="C79" s="216">
        <f>'BASE PAX'!C54</f>
        <v>0</v>
      </c>
      <c r="D79" s="233">
        <f>C79*0.2+C79</f>
        <v>0</v>
      </c>
      <c r="E79" s="233">
        <f>D79*B79</f>
        <v>0</v>
      </c>
      <c r="F79" s="217">
        <f>B79*C79</f>
        <v>0</v>
      </c>
      <c r="G79" s="201">
        <f t="shared" si="14"/>
        <v>0</v>
      </c>
    </row>
    <row r="80" spans="1:16" ht="44" customHeight="1" thickBot="1">
      <c r="A80" s="23" t="s">
        <v>89</v>
      </c>
      <c r="B80" s="80"/>
      <c r="C80" s="130"/>
      <c r="D80" s="130"/>
      <c r="E80" s="131">
        <f>SUM(E75:E79)</f>
        <v>0</v>
      </c>
      <c r="F80" s="131">
        <f>SUM(F75:F79)</f>
        <v>0</v>
      </c>
      <c r="G80" s="203">
        <f t="shared" si="14"/>
        <v>0</v>
      </c>
    </row>
    <row r="81" spans="1:16" s="8" customFormat="1" ht="11" customHeight="1" thickBot="1">
      <c r="A81" s="16"/>
      <c r="B81" s="56"/>
      <c r="C81" s="105"/>
      <c r="D81" s="102"/>
      <c r="E81" s="102"/>
      <c r="F81" s="7"/>
      <c r="G81" s="17"/>
      <c r="H81" s="7"/>
      <c r="I81" s="7"/>
      <c r="J81" s="7"/>
      <c r="K81" s="7"/>
      <c r="L81" s="7"/>
      <c r="M81" s="7"/>
      <c r="N81" s="7"/>
      <c r="O81" s="7"/>
      <c r="P81" s="7"/>
    </row>
    <row r="82" spans="1:16" s="9" customFormat="1" ht="42" customHeight="1" thickBot="1">
      <c r="A82" s="246" t="s">
        <v>117</v>
      </c>
      <c r="B82" s="247" t="s">
        <v>52</v>
      </c>
      <c r="C82" s="248" t="s">
        <v>53</v>
      </c>
      <c r="D82" s="249" t="s">
        <v>54</v>
      </c>
      <c r="E82" s="249" t="s">
        <v>55</v>
      </c>
      <c r="F82" s="248" t="s">
        <v>162</v>
      </c>
      <c r="G82" s="147" t="s">
        <v>159</v>
      </c>
    </row>
    <row r="83" spans="1:16" ht="20" customHeight="1">
      <c r="A83" s="81" t="str">
        <f>'BASE PAX'!A58</f>
        <v>WS INSTRUCTOR</v>
      </c>
      <c r="B83" s="238">
        <f>'BASE PAX'!B58</f>
        <v>0</v>
      </c>
      <c r="C83" s="239">
        <f>'BASE PAX'!C58</f>
        <v>3415000</v>
      </c>
      <c r="D83" s="240">
        <f>(C83*0.15)+C83</f>
        <v>3927250</v>
      </c>
      <c r="E83" s="240">
        <f>D83*B83</f>
        <v>0</v>
      </c>
      <c r="F83" s="234">
        <f>B83*C83</f>
        <v>0</v>
      </c>
      <c r="G83" s="199">
        <f>E83-F83</f>
        <v>0</v>
      </c>
    </row>
    <row r="84" spans="1:16" ht="20" customHeight="1">
      <c r="A84" s="81" t="str">
        <f>'BASE PAX'!A59</f>
        <v>PRODUCER FEE</v>
      </c>
      <c r="B84" s="235">
        <f>'BASE PAX'!B59</f>
        <v>0</v>
      </c>
      <c r="C84" s="236">
        <f>'BASE PAX'!C59</f>
        <v>180000</v>
      </c>
      <c r="D84" s="237">
        <f>(C84*0.15)+C84</f>
        <v>207000</v>
      </c>
      <c r="E84" s="237">
        <f>D84*B84</f>
        <v>0</v>
      </c>
      <c r="F84" s="234">
        <f>B84*C84</f>
        <v>0</v>
      </c>
      <c r="G84" s="200">
        <f>E84-F84</f>
        <v>0</v>
      </c>
    </row>
    <row r="85" spans="1:16" ht="20" customHeight="1" thickBot="1">
      <c r="A85" s="241">
        <f>'BASE PAX'!A60</f>
        <v>0</v>
      </c>
      <c r="B85" s="242">
        <f>'BASE PAX'!B60</f>
        <v>0</v>
      </c>
      <c r="C85" s="243">
        <f>'BASE PAX'!C60</f>
        <v>20000</v>
      </c>
      <c r="D85" s="244">
        <f>(C85*0.15)+C85</f>
        <v>23000</v>
      </c>
      <c r="E85" s="244">
        <f>D85*B85</f>
        <v>0</v>
      </c>
      <c r="F85" s="245">
        <f>B85*C85</f>
        <v>0</v>
      </c>
      <c r="G85" s="201">
        <f>E85-F85</f>
        <v>0</v>
      </c>
    </row>
    <row r="86" spans="1:16" ht="41" customHeight="1" thickBot="1">
      <c r="A86" s="24" t="s">
        <v>163</v>
      </c>
      <c r="B86" s="82"/>
      <c r="C86" s="132"/>
      <c r="D86" s="132"/>
      <c r="E86" s="133">
        <f>SUM(E83:E85)</f>
        <v>0</v>
      </c>
      <c r="F86" s="133">
        <f>SUM(F81:F85)</f>
        <v>0</v>
      </c>
      <c r="G86" s="203">
        <f>E86-F86</f>
        <v>0</v>
      </c>
    </row>
    <row r="87" spans="1:16" s="8" customFormat="1" ht="11" customHeight="1" thickBot="1">
      <c r="A87" s="16"/>
      <c r="B87" s="56"/>
      <c r="C87" s="105"/>
      <c r="D87" s="102"/>
      <c r="E87" s="102"/>
      <c r="F87" s="7"/>
      <c r="G87" s="17"/>
      <c r="H87" s="7"/>
      <c r="I87" s="7"/>
      <c r="J87" s="7"/>
      <c r="K87" s="7"/>
      <c r="L87" s="7"/>
      <c r="M87" s="7"/>
      <c r="N87" s="7"/>
      <c r="O87" s="7"/>
      <c r="P87" s="7"/>
    </row>
    <row r="88" spans="1:16" ht="38" customHeight="1" thickBot="1">
      <c r="A88" s="258" t="s">
        <v>164</v>
      </c>
      <c r="B88" s="259" t="s">
        <v>92</v>
      </c>
      <c r="C88" s="250" t="s">
        <v>53</v>
      </c>
      <c r="D88" s="260" t="s">
        <v>54</v>
      </c>
      <c r="E88" s="260" t="s">
        <v>55</v>
      </c>
      <c r="F88" s="250"/>
      <c r="G88" s="147" t="s">
        <v>159</v>
      </c>
    </row>
    <row r="89" spans="1:16" ht="20" customHeight="1">
      <c r="A89" s="255" t="str">
        <f>'BASE PAX'!A64</f>
        <v>COORDENAÇÃO PRODUÇÃO</v>
      </c>
      <c r="B89" s="256">
        <f>'BASE PAX'!B64</f>
        <v>0</v>
      </c>
      <c r="C89" s="257">
        <f>'BASE PAX'!C64</f>
        <v>50000</v>
      </c>
      <c r="D89" s="257">
        <f>'BASE PAX'!D64</f>
        <v>0</v>
      </c>
      <c r="E89" s="121">
        <f>D89*B89</f>
        <v>0</v>
      </c>
      <c r="F89" s="257"/>
      <c r="G89" s="199">
        <f t="shared" ref="G89:G94" si="15">E89*0.2</f>
        <v>0</v>
      </c>
    </row>
    <row r="90" spans="1:16" ht="20" customHeight="1">
      <c r="A90" s="251" t="str">
        <f>'BASE PAX'!A65</f>
        <v>EXTRA MÃO DE OBRA</v>
      </c>
      <c r="B90" s="256">
        <f>'BASE PAX'!B65</f>
        <v>0</v>
      </c>
      <c r="C90" s="253">
        <f>'BASE PAX'!C65</f>
        <v>50000</v>
      </c>
      <c r="D90" s="253">
        <f>'BASE PAX'!D65</f>
        <v>0</v>
      </c>
      <c r="E90" s="121">
        <f t="shared" ref="E90:E94" si="16">D90*B90</f>
        <v>0</v>
      </c>
      <c r="F90" s="253"/>
      <c r="G90" s="199">
        <f t="shared" si="15"/>
        <v>0</v>
      </c>
    </row>
    <row r="91" spans="1:16" ht="20" customHeight="1">
      <c r="A91" s="251" t="str">
        <f>'BASE PAX'!A66</f>
        <v>TAXA LIMPEZA CHECK IN / CHECKOUT</v>
      </c>
      <c r="B91" s="252">
        <f>'BASE PAX'!B66</f>
        <v>0</v>
      </c>
      <c r="C91" s="253">
        <f>'BASE PAX'!C66</f>
        <v>40000</v>
      </c>
      <c r="D91" s="253">
        <f>'BASE PAX'!D66</f>
        <v>0</v>
      </c>
      <c r="E91" s="121">
        <f t="shared" si="16"/>
        <v>0</v>
      </c>
      <c r="F91" s="253"/>
      <c r="G91" s="199">
        <f t="shared" si="15"/>
        <v>0</v>
      </c>
    </row>
    <row r="92" spans="1:16" ht="20" customHeight="1">
      <c r="A92" s="251" t="str">
        <f>'BASE PAX'!A67</f>
        <v>TAXA LIMPEZA DIARIA</v>
      </c>
      <c r="B92" s="254">
        <f>'BASE PAX'!B67</f>
        <v>0</v>
      </c>
      <c r="C92" s="253">
        <f>'BASE PAX'!C67</f>
        <v>30000</v>
      </c>
      <c r="D92" s="253">
        <f>'BASE PAX'!D67</f>
        <v>0</v>
      </c>
      <c r="E92" s="121">
        <f t="shared" si="16"/>
        <v>0</v>
      </c>
      <c r="F92" s="253"/>
      <c r="G92" s="199">
        <f t="shared" si="15"/>
        <v>0</v>
      </c>
    </row>
    <row r="93" spans="1:16" ht="20" customHeight="1">
      <c r="A93" s="251" t="str">
        <f>'BASE PAX'!A68</f>
        <v>SOUVENIR</v>
      </c>
      <c r="B93" s="252">
        <f>'BASE PAX'!B68</f>
        <v>0</v>
      </c>
      <c r="C93" s="253">
        <f>'BASE PAX'!C68</f>
        <v>15000</v>
      </c>
      <c r="D93" s="253">
        <f>'BASE PAX'!D68</f>
        <v>0</v>
      </c>
      <c r="E93" s="121">
        <f t="shared" si="16"/>
        <v>0</v>
      </c>
      <c r="F93" s="253"/>
      <c r="G93" s="199">
        <f t="shared" si="15"/>
        <v>0</v>
      </c>
    </row>
    <row r="94" spans="1:16" ht="20" customHeight="1" thickBot="1">
      <c r="A94" s="251" t="str">
        <f>'BASE PAX'!A69</f>
        <v>ASSISTENTE COORDENAÇÃO</v>
      </c>
      <c r="B94" s="256">
        <f>'BASE PAX'!B69</f>
        <v>0</v>
      </c>
      <c r="C94" s="253">
        <f>'BASE PAX'!C69</f>
        <v>30000</v>
      </c>
      <c r="D94" s="253">
        <f>'BASE PAX'!D69</f>
        <v>0</v>
      </c>
      <c r="E94" s="121">
        <f t="shared" si="16"/>
        <v>0</v>
      </c>
      <c r="F94" s="253"/>
      <c r="G94" s="199">
        <f t="shared" si="15"/>
        <v>0</v>
      </c>
    </row>
    <row r="95" spans="1:16" ht="41" customHeight="1" thickBot="1">
      <c r="A95" s="25" t="s">
        <v>101</v>
      </c>
      <c r="B95" s="83"/>
      <c r="C95" s="134"/>
      <c r="D95" s="134"/>
      <c r="E95" s="135">
        <f>SUM(E89:E94)</f>
        <v>0</v>
      </c>
      <c r="F95" s="135"/>
      <c r="G95" s="203">
        <f>SUM(G89:G94)</f>
        <v>0</v>
      </c>
    </row>
    <row r="96" spans="1:16" s="8" customFormat="1" ht="11" customHeight="1" thickBot="1">
      <c r="A96" s="16"/>
      <c r="B96" s="56"/>
      <c r="C96" s="105"/>
      <c r="D96" s="102"/>
      <c r="E96" s="102"/>
      <c r="F96" s="7"/>
      <c r="G96" s="17"/>
      <c r="H96" s="7"/>
      <c r="I96" s="7"/>
      <c r="J96" s="7"/>
      <c r="K96" s="7"/>
      <c r="L96" s="7"/>
      <c r="M96" s="7"/>
      <c r="N96" s="7"/>
      <c r="O96" s="7"/>
      <c r="P96" s="7"/>
    </row>
    <row r="97" spans="1:16" ht="38" customHeight="1" thickBot="1">
      <c r="A97" s="26" t="s">
        <v>165</v>
      </c>
      <c r="B97" s="27" t="s">
        <v>92</v>
      </c>
      <c r="C97" s="136" t="s">
        <v>53</v>
      </c>
      <c r="D97" s="136" t="s">
        <v>54</v>
      </c>
      <c r="E97" s="137" t="s">
        <v>55</v>
      </c>
      <c r="F97" s="20"/>
      <c r="G97" s="20"/>
    </row>
    <row r="98" spans="1:16" ht="23" customHeight="1" thickBot="1">
      <c r="A98" s="84" t="str">
        <f>'BASE PAX'!A73</f>
        <v xml:space="preserve">QUINCHO DAY USE / CABIN </v>
      </c>
      <c r="B98" s="85">
        <f>'BASE PAX'!B73</f>
        <v>0</v>
      </c>
      <c r="C98" s="138">
        <f>'BASE PAX'!C73</f>
        <v>15000</v>
      </c>
      <c r="D98" s="138">
        <f>C98+(C98*0.2)</f>
        <v>18000</v>
      </c>
      <c r="E98" s="139">
        <f>D98*B98</f>
        <v>0</v>
      </c>
      <c r="F98" s="19"/>
      <c r="G98" s="17"/>
    </row>
    <row r="99" spans="1:16" ht="42" customHeight="1" thickBot="1">
      <c r="A99" s="26" t="s">
        <v>104</v>
      </c>
      <c r="B99" s="86"/>
      <c r="C99" s="140"/>
      <c r="D99" s="140"/>
      <c r="E99" s="141">
        <f>E98</f>
        <v>0</v>
      </c>
    </row>
    <row r="100" spans="1:16" s="6" customFormat="1" ht="20" customHeight="1">
      <c r="A100" s="28"/>
      <c r="B100" s="52"/>
      <c r="C100" s="11"/>
      <c r="D100" s="11"/>
      <c r="E100" s="11"/>
      <c r="F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9" customHeight="1"/>
  </sheetData>
  <sheetProtection sheet="1" objects="1" scenarios="1"/>
  <mergeCells count="17">
    <mergeCell ref="A11:A12"/>
    <mergeCell ref="A28:D28"/>
    <mergeCell ref="B5:C5"/>
    <mergeCell ref="F20:F21"/>
    <mergeCell ref="B11:B12"/>
    <mergeCell ref="D11:D12"/>
    <mergeCell ref="B9:C9"/>
    <mergeCell ref="D9:E9"/>
    <mergeCell ref="B8:C8"/>
    <mergeCell ref="D8:E8"/>
    <mergeCell ref="D6:E6"/>
    <mergeCell ref="B6:C6"/>
    <mergeCell ref="I11:K11"/>
    <mergeCell ref="D7:E7"/>
    <mergeCell ref="B7:C7"/>
    <mergeCell ref="F11:G13"/>
    <mergeCell ref="G20:G21"/>
  </mergeCells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/>
  <dimension ref="A1:P101"/>
  <sheetViews>
    <sheetView topLeftCell="A63" zoomScale="120" zoomScaleNormal="120" workbookViewId="0">
      <selection activeCell="C92" sqref="C92"/>
    </sheetView>
  </sheetViews>
  <sheetFormatPr baseColWidth="10" defaultColWidth="11" defaultRowHeight="17"/>
  <cols>
    <col min="1" max="1" width="48.796875" style="7" customWidth="1"/>
    <col min="2" max="2" width="23.796875" style="52" customWidth="1"/>
    <col min="3" max="3" width="24" style="7" customWidth="1"/>
    <col min="4" max="4" width="22.796875" style="12" customWidth="1"/>
    <col min="5" max="5" width="22.19921875" style="11" customWidth="1"/>
    <col min="6" max="6" width="31.19921875" style="7" customWidth="1"/>
    <col min="7" max="7" width="27.796875" style="6" customWidth="1"/>
    <col min="8" max="8" width="32.3984375" style="7" customWidth="1"/>
    <col min="9" max="9" width="23.59765625" style="7" customWidth="1"/>
    <col min="10" max="10" width="25.19921875" style="7" customWidth="1"/>
    <col min="11" max="11" width="28.796875" style="7" customWidth="1"/>
    <col min="12" max="12" width="36.19921875" style="7" customWidth="1"/>
    <col min="13" max="28" width="11" style="7" customWidth="1"/>
    <col min="29" max="16384" width="11" style="7"/>
  </cols>
  <sheetData>
    <row r="1" spans="1:16" ht="22" hidden="1" customHeight="1" thickBot="1"/>
    <row r="2" spans="1:16" ht="7" customHeight="1">
      <c r="D2" s="13"/>
    </row>
    <row r="3" spans="1:16" s="10" customFormat="1" ht="1" customHeight="1">
      <c r="A3" s="14"/>
      <c r="B3" s="53"/>
      <c r="C3" s="15" t="s">
        <v>11</v>
      </c>
      <c r="D3" s="15"/>
      <c r="E3" s="15"/>
      <c r="G3" s="9"/>
    </row>
    <row r="4" spans="1:16" s="10" customFormat="1" ht="19" customHeight="1">
      <c r="A4" s="14"/>
      <c r="B4" s="53"/>
      <c r="C4" s="15"/>
      <c r="D4" s="15"/>
      <c r="E4" s="15"/>
      <c r="G4" s="9"/>
    </row>
    <row r="5" spans="1:16" s="10" customFormat="1" ht="46" customHeight="1">
      <c r="A5" s="54" t="s">
        <v>129</v>
      </c>
      <c r="B5" s="674">
        <v>2</v>
      </c>
      <c r="C5" s="675"/>
      <c r="D5" s="277"/>
      <c r="E5" s="277" t="s">
        <v>13</v>
      </c>
      <c r="F5" s="278"/>
      <c r="G5" s="9"/>
    </row>
    <row r="6" spans="1:16" s="8" customFormat="1" ht="37" customHeight="1">
      <c r="A6" s="54" t="s">
        <v>130</v>
      </c>
      <c r="B6" s="683">
        <v>1</v>
      </c>
      <c r="C6" s="684"/>
      <c r="D6" s="682" t="s">
        <v>131</v>
      </c>
      <c r="E6" s="661"/>
      <c r="F6" s="106">
        <f>D21</f>
        <v>0</v>
      </c>
      <c r="G6" s="9"/>
      <c r="H6" s="10"/>
    </row>
    <row r="7" spans="1:16" s="8" customFormat="1" ht="33" customHeight="1">
      <c r="A7" s="55" t="s">
        <v>132</v>
      </c>
      <c r="B7" s="662">
        <f>CALENDAR!C2</f>
        <v>0</v>
      </c>
      <c r="C7" s="661"/>
      <c r="D7" s="660" t="s">
        <v>133</v>
      </c>
      <c r="E7" s="661"/>
      <c r="F7" s="107">
        <f>SUM(F12:F20)</f>
        <v>0</v>
      </c>
      <c r="G7" s="9"/>
      <c r="H7" s="10"/>
    </row>
    <row r="8" spans="1:16" s="8" customFormat="1" ht="31" customHeight="1">
      <c r="A8" s="54" t="s">
        <v>134</v>
      </c>
      <c r="B8" s="680">
        <f>CALENDAR!C3</f>
        <v>0</v>
      </c>
      <c r="C8" s="661"/>
      <c r="D8" s="681" t="s">
        <v>135</v>
      </c>
      <c r="E8" s="661"/>
      <c r="F8" s="108">
        <f>F6-F7</f>
        <v>0</v>
      </c>
      <c r="G8" s="9"/>
      <c r="H8" s="10"/>
    </row>
    <row r="9" spans="1:16" s="8" customFormat="1" ht="32" customHeight="1">
      <c r="A9" s="55" t="s">
        <v>136</v>
      </c>
      <c r="B9" s="678">
        <f>CALENDAR!J2</f>
        <v>0</v>
      </c>
      <c r="C9" s="661"/>
      <c r="D9" s="679" t="s">
        <v>137</v>
      </c>
      <c r="E9" s="661"/>
      <c r="F9" s="1"/>
      <c r="G9" s="9"/>
      <c r="H9" s="10"/>
    </row>
    <row r="10" spans="1:16" s="8" customFormat="1" ht="30" customHeight="1" thickBot="1">
      <c r="A10" s="16"/>
      <c r="B10" s="56"/>
      <c r="C10" s="6"/>
      <c r="D10" s="7"/>
      <c r="E10" s="7"/>
      <c r="F10" s="7"/>
      <c r="G10" s="17"/>
      <c r="H10" s="7"/>
      <c r="I10" s="7"/>
      <c r="J10" s="7"/>
      <c r="K10" s="7"/>
      <c r="L10" s="7"/>
      <c r="M10" s="7"/>
      <c r="N10" s="7"/>
      <c r="O10" s="7"/>
      <c r="P10" s="7"/>
    </row>
    <row r="11" spans="1:16" s="6" customFormat="1" ht="44" customHeight="1" thickBot="1">
      <c r="A11" s="671" t="s">
        <v>138</v>
      </c>
      <c r="B11" s="677" t="s">
        <v>139</v>
      </c>
      <c r="C11" s="57" t="s">
        <v>140</v>
      </c>
      <c r="D11" s="677" t="s">
        <v>141</v>
      </c>
      <c r="E11" s="7"/>
      <c r="F11" s="738" t="str">
        <f>E5</f>
        <v>CHAITEN</v>
      </c>
      <c r="G11" s="664"/>
      <c r="H11" s="7"/>
      <c r="I11" s="658" t="s">
        <v>142</v>
      </c>
      <c r="J11" s="659"/>
      <c r="K11" s="659"/>
      <c r="L11" s="7"/>
      <c r="M11" s="7"/>
      <c r="N11" s="7"/>
      <c r="O11" s="7"/>
      <c r="P11" s="7"/>
    </row>
    <row r="12" spans="1:16" s="6" customFormat="1" ht="32" customHeight="1">
      <c r="A12" s="659"/>
      <c r="B12" s="659"/>
      <c r="C12" s="58">
        <v>0.05</v>
      </c>
      <c r="D12" s="659"/>
      <c r="E12" s="7"/>
      <c r="F12" s="665"/>
      <c r="G12" s="666"/>
      <c r="H12" s="7"/>
      <c r="I12" s="59" t="s">
        <v>126</v>
      </c>
      <c r="J12" s="60" t="s">
        <v>143</v>
      </c>
      <c r="K12" s="60" t="s">
        <v>144</v>
      </c>
      <c r="L12" s="7"/>
      <c r="M12" s="7"/>
      <c r="N12" s="7"/>
      <c r="O12" s="7"/>
      <c r="P12" s="7"/>
    </row>
    <row r="13" spans="1:16" ht="22" customHeight="1" thickBot="1">
      <c r="A13" s="61" t="s">
        <v>15</v>
      </c>
      <c r="B13" s="109">
        <f>G28</f>
        <v>0</v>
      </c>
      <c r="C13" s="109">
        <f t="shared" ref="C13:C20" si="0">B13*$C$12</f>
        <v>0</v>
      </c>
      <c r="D13" s="109">
        <f t="shared" ref="D13:D20" si="1">B13+(B13*$C$12)</f>
        <v>0</v>
      </c>
      <c r="E13" s="7"/>
      <c r="F13" s="667"/>
      <c r="G13" s="668"/>
      <c r="I13" s="3"/>
      <c r="J13" s="4"/>
      <c r="K13" s="5"/>
    </row>
    <row r="14" spans="1:16" s="6" customFormat="1" ht="20" customHeight="1">
      <c r="A14" s="62" t="s">
        <v>16</v>
      </c>
      <c r="B14" s="110">
        <f>J49</f>
        <v>0</v>
      </c>
      <c r="C14" s="110">
        <f t="shared" si="0"/>
        <v>0</v>
      </c>
      <c r="D14" s="110">
        <f t="shared" si="1"/>
        <v>0</v>
      </c>
      <c r="E14" s="7"/>
      <c r="F14" s="271" t="str">
        <f t="shared" ref="F14:F19" si="2">A14</f>
        <v>2.FOOD</v>
      </c>
      <c r="G14" s="261">
        <f>G49</f>
        <v>0</v>
      </c>
      <c r="H14" s="7"/>
      <c r="I14" s="3"/>
      <c r="J14" s="4"/>
      <c r="K14" s="5"/>
      <c r="L14" s="7"/>
      <c r="M14" s="7"/>
      <c r="N14" s="7"/>
      <c r="O14" s="7"/>
      <c r="P14" s="7"/>
    </row>
    <row r="15" spans="1:16" s="6" customFormat="1" ht="20" customHeight="1">
      <c r="A15" s="63" t="s">
        <v>17</v>
      </c>
      <c r="B15" s="111">
        <f>E59</f>
        <v>0</v>
      </c>
      <c r="C15" s="111">
        <f t="shared" si="0"/>
        <v>0</v>
      </c>
      <c r="D15" s="111">
        <f t="shared" si="1"/>
        <v>0</v>
      </c>
      <c r="E15" s="7"/>
      <c r="F15" s="272" t="str">
        <f t="shared" si="2"/>
        <v>3.DRINKS</v>
      </c>
      <c r="G15" s="262">
        <f>G59</f>
        <v>0</v>
      </c>
      <c r="H15" s="7"/>
      <c r="I15" s="3"/>
      <c r="J15" s="4"/>
      <c r="K15" s="5"/>
      <c r="L15" s="7"/>
      <c r="M15" s="7"/>
      <c r="N15" s="7"/>
      <c r="O15" s="7"/>
      <c r="P15" s="7"/>
    </row>
    <row r="16" spans="1:16" s="6" customFormat="1" ht="20" customHeight="1">
      <c r="A16" s="55" t="s">
        <v>18</v>
      </c>
      <c r="B16" s="112">
        <f>$E$72</f>
        <v>0</v>
      </c>
      <c r="C16" s="112">
        <f t="shared" si="0"/>
        <v>0</v>
      </c>
      <c r="D16" s="112">
        <f t="shared" si="1"/>
        <v>0</v>
      </c>
      <c r="E16" s="7"/>
      <c r="F16" s="273" t="str">
        <f t="shared" si="2"/>
        <v>4. ACTIVITIES</v>
      </c>
      <c r="G16" s="263">
        <f>G72</f>
        <v>0</v>
      </c>
      <c r="H16" s="7"/>
      <c r="I16" s="3"/>
      <c r="J16" s="4"/>
      <c r="K16" s="5"/>
      <c r="L16" s="7"/>
      <c r="M16" s="7"/>
      <c r="N16" s="7"/>
      <c r="O16" s="7"/>
      <c r="P16" s="7"/>
    </row>
    <row r="17" spans="1:16" s="6" customFormat="1" ht="20" customHeight="1">
      <c r="A17" s="63" t="s">
        <v>19</v>
      </c>
      <c r="B17" s="111">
        <f>$E$80</f>
        <v>0</v>
      </c>
      <c r="C17" s="111">
        <f t="shared" si="0"/>
        <v>0</v>
      </c>
      <c r="D17" s="111">
        <f t="shared" si="1"/>
        <v>0</v>
      </c>
      <c r="E17" s="7"/>
      <c r="F17" s="274" t="str">
        <f t="shared" si="2"/>
        <v>5.TRANSPORT</v>
      </c>
      <c r="G17" s="174">
        <f>G80</f>
        <v>0</v>
      </c>
      <c r="H17" s="7"/>
      <c r="I17" s="3"/>
      <c r="J17" s="4"/>
      <c r="K17" s="5"/>
      <c r="L17" s="7"/>
      <c r="M17" s="7"/>
      <c r="N17" s="7"/>
      <c r="O17" s="7"/>
      <c r="P17" s="7"/>
    </row>
    <row r="18" spans="1:16" s="6" customFormat="1" ht="20" customHeight="1">
      <c r="A18" s="64" t="s">
        <v>20</v>
      </c>
      <c r="B18" s="113">
        <f>$E$86</f>
        <v>0</v>
      </c>
      <c r="C18" s="113">
        <f t="shared" si="0"/>
        <v>0</v>
      </c>
      <c r="D18" s="113">
        <f t="shared" si="1"/>
        <v>0</v>
      </c>
      <c r="E18" s="10"/>
      <c r="F18" s="275" t="str">
        <f t="shared" si="2"/>
        <v>6.EXPERIENCES</v>
      </c>
      <c r="G18" s="264">
        <f>G86</f>
        <v>0</v>
      </c>
      <c r="H18" s="7"/>
      <c r="I18" s="3"/>
      <c r="J18" s="4"/>
      <c r="K18" s="5"/>
      <c r="L18" s="7"/>
      <c r="M18" s="7"/>
      <c r="N18" s="7"/>
      <c r="O18" s="7"/>
      <c r="P18" s="7"/>
    </row>
    <row r="19" spans="1:16" s="6" customFormat="1" ht="20" customHeight="1">
      <c r="A19" s="65" t="s">
        <v>21</v>
      </c>
      <c r="B19" s="114">
        <f>$E$95</f>
        <v>0</v>
      </c>
      <c r="C19" s="114">
        <f t="shared" si="0"/>
        <v>0</v>
      </c>
      <c r="D19" s="114">
        <f t="shared" si="1"/>
        <v>0</v>
      </c>
      <c r="E19" s="7"/>
      <c r="F19" s="276" t="str">
        <f t="shared" si="2"/>
        <v>7.EXTRAS</v>
      </c>
      <c r="G19" s="151">
        <f>G95</f>
        <v>0</v>
      </c>
      <c r="H19" s="7"/>
      <c r="I19" s="3"/>
      <c r="J19" s="4"/>
      <c r="K19" s="5"/>
      <c r="L19" s="7"/>
      <c r="M19" s="7"/>
      <c r="N19" s="7"/>
      <c r="O19" s="7"/>
      <c r="P19" s="7"/>
    </row>
    <row r="20" spans="1:16" s="6" customFormat="1" ht="20" customHeight="1" thickBot="1">
      <c r="A20" s="66" t="s">
        <v>22</v>
      </c>
      <c r="B20" s="115">
        <f>$E$99</f>
        <v>0</v>
      </c>
      <c r="C20" s="115">
        <f t="shared" si="0"/>
        <v>0</v>
      </c>
      <c r="D20" s="115">
        <f t="shared" si="1"/>
        <v>0</v>
      </c>
      <c r="E20" s="7"/>
      <c r="F20" s="676" t="s">
        <v>145</v>
      </c>
      <c r="G20" s="669">
        <f>G14+G15+G16+G17+G18+G19</f>
        <v>0</v>
      </c>
      <c r="H20" s="7"/>
      <c r="I20" s="3"/>
      <c r="J20" s="4"/>
      <c r="K20" s="5"/>
      <c r="L20" s="7"/>
      <c r="M20" s="7"/>
      <c r="N20" s="7"/>
      <c r="O20" s="7"/>
      <c r="P20" s="7"/>
    </row>
    <row r="21" spans="1:16" ht="35" customHeight="1" thickBot="1">
      <c r="A21" s="67" t="s">
        <v>146</v>
      </c>
      <c r="B21" s="116">
        <f>SUM(B13:B20)</f>
        <v>0</v>
      </c>
      <c r="C21" s="116"/>
      <c r="D21" s="116">
        <f>SUM(D13:D20)</f>
        <v>0</v>
      </c>
      <c r="E21" s="51"/>
      <c r="F21" s="670"/>
      <c r="G21" s="670"/>
    </row>
    <row r="22" spans="1:16" s="8" customFormat="1" ht="11" customHeight="1" thickBot="1">
      <c r="A22" s="16"/>
      <c r="B22" s="56"/>
      <c r="C22" s="6"/>
      <c r="D22" s="7"/>
      <c r="E22" s="7"/>
      <c r="F22" s="7"/>
      <c r="G22" s="17"/>
      <c r="H22" s="7"/>
      <c r="I22" s="7"/>
      <c r="J22" s="7"/>
      <c r="K22" s="7"/>
      <c r="L22" s="7"/>
      <c r="M22" s="7"/>
      <c r="N22" s="7"/>
      <c r="O22" s="7"/>
      <c r="P22" s="7"/>
    </row>
    <row r="23" spans="1:16" ht="44" customHeight="1" thickBot="1">
      <c r="A23" s="68" t="s">
        <v>114</v>
      </c>
      <c r="B23" s="69" t="s">
        <v>52</v>
      </c>
      <c r="C23" s="69" t="s">
        <v>147</v>
      </c>
      <c r="D23" s="69" t="s">
        <v>148</v>
      </c>
      <c r="E23" s="70" t="s">
        <v>149</v>
      </c>
      <c r="F23" s="70" t="s">
        <v>150</v>
      </c>
      <c r="G23" s="70" t="s">
        <v>151</v>
      </c>
    </row>
    <row r="24" spans="1:16" ht="20" customHeight="1">
      <c r="A24" s="71" t="s">
        <v>170</v>
      </c>
      <c r="B24" s="93">
        <v>0</v>
      </c>
      <c r="C24" s="117">
        <f>288190.9</f>
        <v>288190.90000000002</v>
      </c>
      <c r="D24" s="118"/>
      <c r="E24" s="119">
        <f>(C24+D24)*$B$9*B24</f>
        <v>0</v>
      </c>
      <c r="F24" s="2">
        <v>0</v>
      </c>
      <c r="G24" s="119">
        <f>E24-(E24*F24)</f>
        <v>0</v>
      </c>
    </row>
    <row r="25" spans="1:16" ht="20" customHeight="1">
      <c r="A25" s="71" t="s">
        <v>171</v>
      </c>
      <c r="B25" s="93">
        <v>1</v>
      </c>
      <c r="C25" s="117">
        <f>288190.9</f>
        <v>288190.90000000002</v>
      </c>
      <c r="D25" s="118">
        <v>50000</v>
      </c>
      <c r="E25" s="119">
        <f>(C25+D25)*$B$9*B25</f>
        <v>0</v>
      </c>
      <c r="F25" s="2">
        <v>0</v>
      </c>
      <c r="G25" s="119">
        <f>E25-(E25*F25)</f>
        <v>0</v>
      </c>
    </row>
    <row r="26" spans="1:16" ht="20" customHeight="1">
      <c r="A26" s="71" t="s">
        <v>172</v>
      </c>
      <c r="B26" s="93">
        <v>0</v>
      </c>
      <c r="C26" s="117">
        <f>259371.81</f>
        <v>259371.81</v>
      </c>
      <c r="D26" s="118"/>
      <c r="E26" s="119">
        <f>(C26+D26)*$B$9*B26</f>
        <v>0</v>
      </c>
      <c r="F26" s="2">
        <v>0</v>
      </c>
      <c r="G26" s="119">
        <f>E26-(E26*F26)</f>
        <v>0</v>
      </c>
    </row>
    <row r="27" spans="1:16" ht="20" customHeight="1" thickBot="1">
      <c r="A27" s="71" t="s">
        <v>173</v>
      </c>
      <c r="B27" s="93">
        <v>0</v>
      </c>
      <c r="C27" s="117">
        <f>259371.81</f>
        <v>259371.81</v>
      </c>
      <c r="D27" s="118">
        <v>50000</v>
      </c>
      <c r="E27" s="119">
        <f>(C27+D27)*$B$9*B27</f>
        <v>0</v>
      </c>
      <c r="F27" s="2">
        <v>0</v>
      </c>
      <c r="G27" s="119">
        <f>E27-(E27*F27)</f>
        <v>0</v>
      </c>
    </row>
    <row r="28" spans="1:16" ht="29" customHeight="1" thickBot="1">
      <c r="A28" s="672" t="s">
        <v>156</v>
      </c>
      <c r="B28" s="673"/>
      <c r="C28" s="673"/>
      <c r="D28" s="673"/>
      <c r="E28" s="72"/>
      <c r="F28" s="73"/>
      <c r="G28" s="120">
        <f>SUM(G24:G27)</f>
        <v>0</v>
      </c>
    </row>
    <row r="29" spans="1:16" s="8" customFormat="1" ht="11" customHeight="1" thickBot="1">
      <c r="A29" s="16"/>
      <c r="B29" s="56"/>
      <c r="C29" s="6"/>
      <c r="D29" s="7"/>
      <c r="E29" s="7"/>
      <c r="F29" s="7"/>
      <c r="G29" s="17"/>
      <c r="H29" s="7"/>
      <c r="I29" s="7"/>
      <c r="J29" s="7"/>
      <c r="K29" s="7"/>
      <c r="L29" s="7"/>
      <c r="M29" s="7"/>
      <c r="N29" s="7"/>
      <c r="O29" s="7"/>
      <c r="P29" s="7"/>
    </row>
    <row r="30" spans="1:16" s="10" customFormat="1" ht="40" customHeight="1" thickBot="1">
      <c r="A30" s="18" t="s">
        <v>51</v>
      </c>
      <c r="B30" s="159" t="s">
        <v>52</v>
      </c>
      <c r="C30" s="160" t="s">
        <v>53</v>
      </c>
      <c r="D30" s="153" t="s">
        <v>54</v>
      </c>
      <c r="E30" s="149" t="s">
        <v>157</v>
      </c>
      <c r="F30" s="103" t="s">
        <v>158</v>
      </c>
      <c r="G30" s="147" t="s">
        <v>159</v>
      </c>
    </row>
    <row r="31" spans="1:16" ht="20" customHeight="1" thickBot="1">
      <c r="A31" s="154" t="str">
        <f>'BASE PAX'!A6</f>
        <v>BREAKFAST</v>
      </c>
      <c r="B31" s="284">
        <f>(B5*B9*'BASE PAX'!G6)+('BASE PAX'!H6*B6*B9)</f>
        <v>0</v>
      </c>
      <c r="C31" s="121"/>
      <c r="D31" s="144"/>
      <c r="E31" s="283"/>
      <c r="F31" s="122">
        <f t="shared" ref="F31:F46" si="3">B31*C31</f>
        <v>0</v>
      </c>
      <c r="G31" s="325">
        <f>0.2*B31</f>
        <v>0</v>
      </c>
      <c r="H31" s="351" t="str">
        <f>'BASE PAX'!A6</f>
        <v>BREAKFAST</v>
      </c>
      <c r="I31" s="357">
        <f>B31</f>
        <v>0</v>
      </c>
    </row>
    <row r="32" spans="1:16" ht="20" customHeight="1">
      <c r="A32" s="155" t="str">
        <f>'BASE PAX'!A7</f>
        <v>LUNCH 1</v>
      </c>
      <c r="B32" s="91">
        <f>($B$5+($B$6*0.5))*'BASE PAX'!B7</f>
        <v>0</v>
      </c>
      <c r="C32" s="123">
        <f>'BASE PAX'!C7</f>
        <v>40000</v>
      </c>
      <c r="D32" s="125">
        <f>'BASE PAX'!D7</f>
        <v>48000</v>
      </c>
      <c r="E32" s="151">
        <f t="shared" ref="E32:E46" si="4">D32*B32</f>
        <v>0</v>
      </c>
      <c r="F32" s="124">
        <f t="shared" si="3"/>
        <v>0</v>
      </c>
      <c r="G32" s="146">
        <f t="shared" ref="G32:G46" si="5">E32-F32</f>
        <v>0</v>
      </c>
      <c r="H32" s="292"/>
      <c r="I32" s="295"/>
    </row>
    <row r="33" spans="1:11" ht="20" customHeight="1">
      <c r="A33" s="155" t="str">
        <f>'BASE PAX'!A8</f>
        <v>LUNCH 2</v>
      </c>
      <c r="B33" s="91">
        <f>($B$5+($B$6*0.5))*'BASE PAX'!B8</f>
        <v>0</v>
      </c>
      <c r="C33" s="123">
        <f>'BASE PAX'!C8</f>
        <v>40000</v>
      </c>
      <c r="D33" s="125">
        <f>'BASE PAX'!D8</f>
        <v>48000</v>
      </c>
      <c r="E33" s="151">
        <f t="shared" si="4"/>
        <v>0</v>
      </c>
      <c r="F33" s="124">
        <f t="shared" si="3"/>
        <v>0</v>
      </c>
      <c r="G33" s="146">
        <f t="shared" si="5"/>
        <v>0</v>
      </c>
      <c r="H33" s="292"/>
      <c r="I33" s="295"/>
    </row>
    <row r="34" spans="1:11" ht="20" customHeight="1">
      <c r="A34" s="155" t="str">
        <f>'BASE PAX'!A9</f>
        <v>LUNCH 3</v>
      </c>
      <c r="B34" s="91">
        <f>($B$5+($B$6*0.5))*'BASE PAX'!B9</f>
        <v>0</v>
      </c>
      <c r="C34" s="123">
        <f>'BASE PAX'!C9</f>
        <v>40000</v>
      </c>
      <c r="D34" s="125">
        <f>'BASE PAX'!D9</f>
        <v>48000</v>
      </c>
      <c r="E34" s="151">
        <f t="shared" si="4"/>
        <v>0</v>
      </c>
      <c r="F34" s="124">
        <f t="shared" si="3"/>
        <v>0</v>
      </c>
      <c r="G34" s="146">
        <f t="shared" si="5"/>
        <v>0</v>
      </c>
      <c r="H34" s="292"/>
      <c r="I34" s="295"/>
    </row>
    <row r="35" spans="1:11" ht="20" customHeight="1">
      <c r="A35" s="155" t="str">
        <f>'BASE PAX'!A10</f>
        <v>LUNCH 4</v>
      </c>
      <c r="B35" s="91">
        <f>($B$5+($B$6*0.5))*'BASE PAX'!B10</f>
        <v>0</v>
      </c>
      <c r="C35" s="123">
        <f>'BASE PAX'!C10</f>
        <v>45000</v>
      </c>
      <c r="D35" s="125">
        <f>'BASE PAX'!D10</f>
        <v>54000</v>
      </c>
      <c r="E35" s="151">
        <f t="shared" si="4"/>
        <v>0</v>
      </c>
      <c r="F35" s="124">
        <f t="shared" si="3"/>
        <v>0</v>
      </c>
      <c r="G35" s="146">
        <f t="shared" si="5"/>
        <v>0</v>
      </c>
      <c r="H35" s="292"/>
      <c r="I35" s="295"/>
    </row>
    <row r="36" spans="1:11" ht="20" customHeight="1">
      <c r="A36" s="155" t="str">
        <f>'BASE PAX'!A11</f>
        <v>LUNCH 5</v>
      </c>
      <c r="B36" s="91">
        <f>($B$5+($B$6*0.6))*'BASE PAX'!B11</f>
        <v>0</v>
      </c>
      <c r="C36" s="123">
        <f>'BASE PAX'!C11</f>
        <v>50000</v>
      </c>
      <c r="D36" s="125">
        <f>'BASE PAX'!D11</f>
        <v>60000</v>
      </c>
      <c r="E36" s="151">
        <f t="shared" si="4"/>
        <v>0</v>
      </c>
      <c r="F36" s="124">
        <f t="shared" si="3"/>
        <v>0</v>
      </c>
      <c r="G36" s="146">
        <f t="shared" si="5"/>
        <v>0</v>
      </c>
      <c r="H36" s="292"/>
      <c r="I36" s="295"/>
    </row>
    <row r="37" spans="1:11" ht="20" customHeight="1">
      <c r="A37" s="155" t="str">
        <f>'BASE PAX'!A12</f>
        <v>LUNCH 6</v>
      </c>
      <c r="B37" s="91">
        <f>($B$5+($B$6*0.5))*'BASE PAX'!B12</f>
        <v>0</v>
      </c>
      <c r="C37" s="123">
        <f>'BASE PAX'!C12</f>
        <v>0</v>
      </c>
      <c r="D37" s="125">
        <f>'BASE PAX'!D12</f>
        <v>0</v>
      </c>
      <c r="E37" s="151">
        <f t="shared" si="4"/>
        <v>0</v>
      </c>
      <c r="F37" s="124">
        <f t="shared" si="3"/>
        <v>0</v>
      </c>
      <c r="G37" s="146">
        <f t="shared" si="5"/>
        <v>0</v>
      </c>
      <c r="H37" s="292"/>
      <c r="I37" s="295"/>
    </row>
    <row r="38" spans="1:11" ht="20" customHeight="1">
      <c r="A38" s="155" t="str">
        <f>'BASE PAX'!A13</f>
        <v>LUNCH 7</v>
      </c>
      <c r="B38" s="91">
        <f>($B$5+($B$6*0.5))*'BASE PAX'!B13</f>
        <v>0</v>
      </c>
      <c r="C38" s="123">
        <f>'BASE PAX'!C13</f>
        <v>5000</v>
      </c>
      <c r="D38" s="125">
        <f>'BASE PAX'!D13</f>
        <v>6000</v>
      </c>
      <c r="E38" s="151">
        <f t="shared" si="4"/>
        <v>0</v>
      </c>
      <c r="F38" s="124">
        <f t="shared" si="3"/>
        <v>0</v>
      </c>
      <c r="G38" s="146">
        <f t="shared" si="5"/>
        <v>0</v>
      </c>
      <c r="H38" s="292"/>
      <c r="I38" s="295"/>
    </row>
    <row r="39" spans="1:11" ht="20" customHeight="1">
      <c r="A39" s="156" t="str">
        <f>'BASE PAX'!A14</f>
        <v>SNACKS</v>
      </c>
      <c r="B39" s="92">
        <f>($B$5+$B$6)*'BASE PAX'!B14</f>
        <v>0</v>
      </c>
      <c r="C39" s="125">
        <f>'BASE PAX'!C14</f>
        <v>8000</v>
      </c>
      <c r="D39" s="145">
        <f>'BASE PAX'!D14</f>
        <v>9600</v>
      </c>
      <c r="E39" s="150">
        <f t="shared" si="4"/>
        <v>0</v>
      </c>
      <c r="F39" s="122">
        <f t="shared" si="3"/>
        <v>0</v>
      </c>
      <c r="G39" s="146">
        <f t="shared" si="5"/>
        <v>0</v>
      </c>
      <c r="H39" s="292"/>
      <c r="I39" s="295"/>
    </row>
    <row r="40" spans="1:11" ht="20" customHeight="1">
      <c r="A40" s="155" t="str">
        <f>'BASE PAX'!A15</f>
        <v>DINNER 1</v>
      </c>
      <c r="B40" s="91">
        <f>($B$5+($B$6*0.6))*'BASE PAX'!B15</f>
        <v>0</v>
      </c>
      <c r="C40" s="123">
        <f>'BASE PAX'!C15</f>
        <v>70000</v>
      </c>
      <c r="D40" s="125">
        <f>'BASE PAX'!D15</f>
        <v>84000</v>
      </c>
      <c r="E40" s="151">
        <f t="shared" si="4"/>
        <v>0</v>
      </c>
      <c r="F40" s="124">
        <f t="shared" si="3"/>
        <v>0</v>
      </c>
      <c r="G40" s="146">
        <f t="shared" si="5"/>
        <v>0</v>
      </c>
      <c r="H40" s="292"/>
      <c r="I40" s="295"/>
    </row>
    <row r="41" spans="1:11" ht="20" customHeight="1">
      <c r="A41" s="155" t="str">
        <f>'BASE PAX'!A16</f>
        <v>DINNER 2</v>
      </c>
      <c r="B41" s="91">
        <f>($B$5+($B$6*0.6))*'BASE PAX'!B16</f>
        <v>0</v>
      </c>
      <c r="C41" s="123">
        <f>'BASE PAX'!C16</f>
        <v>25000</v>
      </c>
      <c r="D41" s="125">
        <f>'BASE PAX'!D16</f>
        <v>30000</v>
      </c>
      <c r="E41" s="151">
        <f t="shared" si="4"/>
        <v>0</v>
      </c>
      <c r="F41" s="124">
        <f t="shared" si="3"/>
        <v>0</v>
      </c>
      <c r="G41" s="146">
        <f t="shared" si="5"/>
        <v>0</v>
      </c>
      <c r="H41" s="292"/>
      <c r="I41" s="295"/>
    </row>
    <row r="42" spans="1:11" ht="20" customHeight="1">
      <c r="A42" s="155" t="str">
        <f>'BASE PAX'!A17</f>
        <v>DINNER 3</v>
      </c>
      <c r="B42" s="91">
        <f>($B$5+($B$6*0.6))*'BASE PAX'!B17</f>
        <v>0</v>
      </c>
      <c r="C42" s="123">
        <f>'BASE PAX'!C17</f>
        <v>50000</v>
      </c>
      <c r="D42" s="125">
        <f>'BASE PAX'!D17</f>
        <v>60000</v>
      </c>
      <c r="E42" s="151">
        <f t="shared" si="4"/>
        <v>0</v>
      </c>
      <c r="F42" s="124">
        <f t="shared" si="3"/>
        <v>0</v>
      </c>
      <c r="G42" s="146">
        <f t="shared" si="5"/>
        <v>0</v>
      </c>
      <c r="H42" s="292"/>
      <c r="I42" s="295"/>
    </row>
    <row r="43" spans="1:11" ht="20" customHeight="1">
      <c r="A43" s="155" t="str">
        <f>'BASE PAX'!A18</f>
        <v>DINNER 4</v>
      </c>
      <c r="B43" s="91">
        <f>($B$5+($B$6*0.5))*'BASE PAX'!B18</f>
        <v>0</v>
      </c>
      <c r="C43" s="123">
        <f>'BASE PAX'!C18</f>
        <v>65000</v>
      </c>
      <c r="D43" s="125">
        <f>'BASE PAX'!D18</f>
        <v>78000</v>
      </c>
      <c r="E43" s="151">
        <f t="shared" si="4"/>
        <v>0</v>
      </c>
      <c r="F43" s="124">
        <f t="shared" si="3"/>
        <v>0</v>
      </c>
      <c r="G43" s="146">
        <f t="shared" si="5"/>
        <v>0</v>
      </c>
      <c r="H43" s="292"/>
      <c r="I43" s="295"/>
    </row>
    <row r="44" spans="1:11" ht="20" customHeight="1">
      <c r="A44" s="155" t="str">
        <f>'BASE PAX'!A19</f>
        <v>DINNER 5</v>
      </c>
      <c r="B44" s="91">
        <f>($B$5+($B$6*0.6))*'BASE PAX'!B19</f>
        <v>0</v>
      </c>
      <c r="C44" s="123">
        <f>'BASE PAX'!C19</f>
        <v>75000</v>
      </c>
      <c r="D44" s="125">
        <f>'BASE PAX'!D19</f>
        <v>90000</v>
      </c>
      <c r="E44" s="151">
        <f t="shared" si="4"/>
        <v>0</v>
      </c>
      <c r="F44" s="124">
        <f t="shared" si="3"/>
        <v>0</v>
      </c>
      <c r="G44" s="146">
        <f t="shared" si="5"/>
        <v>0</v>
      </c>
      <c r="H44" s="292"/>
      <c r="I44" s="295"/>
    </row>
    <row r="45" spans="1:11" ht="20" customHeight="1">
      <c r="A45" s="155" t="str">
        <f>'BASE PAX'!A20</f>
        <v>DINNER 6</v>
      </c>
      <c r="B45" s="91">
        <f>($B$5+($B$6*0.5))*'BASE PAX'!B20</f>
        <v>0</v>
      </c>
      <c r="C45" s="123">
        <f>'BASE PAX'!C20</f>
        <v>0</v>
      </c>
      <c r="D45" s="125">
        <f>'BASE PAX'!D20</f>
        <v>0</v>
      </c>
      <c r="E45" s="151">
        <f t="shared" si="4"/>
        <v>0</v>
      </c>
      <c r="F45" s="124">
        <f t="shared" si="3"/>
        <v>0</v>
      </c>
      <c r="G45" s="146">
        <f t="shared" si="5"/>
        <v>0</v>
      </c>
      <c r="H45" s="292"/>
      <c r="I45" s="295"/>
    </row>
    <row r="46" spans="1:11" ht="20" customHeight="1" thickBot="1">
      <c r="A46" s="155" t="str">
        <f>'BASE PAX'!A21</f>
        <v>DINNER 7</v>
      </c>
      <c r="B46" s="91">
        <f>($B$5+($B$6*0.6))*'BASE PAX'!B21</f>
        <v>0</v>
      </c>
      <c r="C46" s="123">
        <f>'BASE PAX'!C21</f>
        <v>75000</v>
      </c>
      <c r="D46" s="125">
        <f>'BASE PAX'!D21</f>
        <v>90000</v>
      </c>
      <c r="E46" s="151">
        <f t="shared" si="4"/>
        <v>0</v>
      </c>
      <c r="F46" s="124">
        <f t="shared" si="3"/>
        <v>0</v>
      </c>
      <c r="G46" s="146">
        <f t="shared" si="5"/>
        <v>0</v>
      </c>
      <c r="H46" s="292"/>
      <c r="I46" s="295"/>
    </row>
    <row r="47" spans="1:11" ht="20" customHeight="1">
      <c r="A47" s="155" t="str">
        <f>'BASE PAX'!A22</f>
        <v>QUANT. TOTAL | PADRAO ALMOÇO</v>
      </c>
      <c r="B47" s="91">
        <f>'BASE PAX'!B22</f>
        <v>0</v>
      </c>
      <c r="C47" s="123"/>
      <c r="D47" s="125"/>
      <c r="E47" s="151"/>
      <c r="F47" s="124"/>
      <c r="G47" s="325">
        <f>0.2*I47</f>
        <v>0</v>
      </c>
      <c r="H47" s="337" t="str">
        <f>'BASE PAX'!A22</f>
        <v>QUANT. TOTAL | PADRAO ALMOÇO</v>
      </c>
      <c r="I47" s="350">
        <f>(B5*B47*'BASE PAX'!G22)+(B6*B47*'BASE PAX'!H22)</f>
        <v>0</v>
      </c>
      <c r="J47" s="328"/>
      <c r="K47" s="329"/>
    </row>
    <row r="48" spans="1:11" ht="20" customHeight="1" thickBot="1">
      <c r="A48" s="163" t="str">
        <f>'BASE PAX'!A23</f>
        <v>QUANT. TOTAL | PADRAO JANTAR</v>
      </c>
      <c r="B48" s="171">
        <f>'BASE PAX'!B23</f>
        <v>0</v>
      </c>
      <c r="C48" s="165"/>
      <c r="D48" s="166"/>
      <c r="E48" s="167"/>
      <c r="F48" s="168"/>
      <c r="G48" s="326">
        <f>0.2*I48</f>
        <v>0</v>
      </c>
      <c r="H48" s="346" t="str">
        <f>'BASE PAX'!A23</f>
        <v>QUANT. TOTAL | PADRAO JANTAR</v>
      </c>
      <c r="I48" s="336">
        <f>(B5*B48*'BASE PAX'!G23)+(B6*B48*'BASE PAX'!H23)</f>
        <v>0</v>
      </c>
      <c r="J48" s="330"/>
      <c r="K48" s="331"/>
    </row>
    <row r="49" spans="1:16" ht="29" customHeight="1" thickBot="1">
      <c r="A49" s="161" t="s">
        <v>72</v>
      </c>
      <c r="B49" s="157"/>
      <c r="C49" s="158"/>
      <c r="D49" s="152"/>
      <c r="E49" s="300">
        <f>SUM(E31:E48)</f>
        <v>0</v>
      </c>
      <c r="F49" s="104">
        <f>SUM(F31:F48)</f>
        <v>0</v>
      </c>
      <c r="G49" s="327">
        <f>SUM(G31:G48)</f>
        <v>0</v>
      </c>
      <c r="H49" s="339" t="s">
        <v>55</v>
      </c>
      <c r="I49" s="343">
        <f>I31+I47+I48</f>
        <v>0</v>
      </c>
      <c r="J49" s="361">
        <f>I49+E49</f>
        <v>0</v>
      </c>
      <c r="K49" s="345" t="s">
        <v>160</v>
      </c>
    </row>
    <row r="50" spans="1:16" s="8" customFormat="1" ht="11" customHeight="1" thickBot="1">
      <c r="A50" s="16"/>
      <c r="B50" s="56"/>
      <c r="C50" s="105"/>
      <c r="D50" s="102"/>
      <c r="E50" s="102"/>
      <c r="F50" s="7"/>
      <c r="G50" s="17"/>
      <c r="H50" s="7"/>
      <c r="I50" s="295"/>
      <c r="J50" s="7"/>
      <c r="K50" s="7"/>
      <c r="L50" s="7"/>
      <c r="M50" s="7"/>
      <c r="N50" s="7"/>
      <c r="O50" s="7"/>
      <c r="P50" s="7"/>
    </row>
    <row r="51" spans="1:16" ht="34" customHeight="1" thickBot="1">
      <c r="A51" s="21" t="s">
        <v>161</v>
      </c>
      <c r="B51" s="207" t="s">
        <v>52</v>
      </c>
      <c r="C51" s="208" t="s">
        <v>53</v>
      </c>
      <c r="D51" s="209" t="s">
        <v>54</v>
      </c>
      <c r="E51" s="172" t="s">
        <v>55</v>
      </c>
      <c r="F51" s="142" t="s">
        <v>158</v>
      </c>
      <c r="G51" s="182" t="s">
        <v>159</v>
      </c>
    </row>
    <row r="52" spans="1:16" ht="20" customHeight="1">
      <c r="A52" s="76" t="str">
        <f>'BASE PAX'!A27</f>
        <v>SUCOS</v>
      </c>
      <c r="B52" s="205">
        <f>'BASE PAX'!B27</f>
        <v>0</v>
      </c>
      <c r="C52" s="193">
        <f>'BASE PAX'!C27</f>
        <v>0</v>
      </c>
      <c r="D52" s="206">
        <f t="shared" ref="D52:D58" si="6">(C52*0.2)+C52</f>
        <v>0</v>
      </c>
      <c r="E52" s="174">
        <f t="shared" ref="E52:E58" si="7">D52*B52</f>
        <v>0</v>
      </c>
      <c r="F52" s="173">
        <f t="shared" ref="F52:F58" si="8">B52*C52</f>
        <v>0</v>
      </c>
      <c r="G52" s="183">
        <f t="shared" ref="G52:G59" si="9">E52-F52</f>
        <v>0</v>
      </c>
    </row>
    <row r="53" spans="1:16" ht="20" customHeight="1">
      <c r="A53" s="76" t="str">
        <f>'BASE PAX'!A28</f>
        <v>SUCOS</v>
      </c>
      <c r="B53" s="205">
        <f>'BASE PAX'!B28</f>
        <v>0</v>
      </c>
      <c r="C53" s="175">
        <f>'BASE PAX'!C28</f>
        <v>0</v>
      </c>
      <c r="D53" s="176">
        <f t="shared" si="6"/>
        <v>0</v>
      </c>
      <c r="E53" s="174">
        <f t="shared" si="7"/>
        <v>0</v>
      </c>
      <c r="F53" s="173">
        <f t="shared" si="8"/>
        <v>0</v>
      </c>
      <c r="G53" s="183">
        <f t="shared" si="9"/>
        <v>0</v>
      </c>
    </row>
    <row r="54" spans="1:16" ht="20" customHeight="1">
      <c r="A54" s="87" t="str">
        <f>'BASE PAX'!A29</f>
        <v>CERVEJAS</v>
      </c>
      <c r="B54" s="205">
        <f>'BASE PAX'!B29</f>
        <v>0</v>
      </c>
      <c r="C54" s="175">
        <f>'BASE PAX'!C29</f>
        <v>2000</v>
      </c>
      <c r="D54" s="176">
        <f t="shared" si="6"/>
        <v>2400</v>
      </c>
      <c r="E54" s="174">
        <f t="shared" si="7"/>
        <v>0</v>
      </c>
      <c r="F54" s="173">
        <f t="shared" si="8"/>
        <v>0</v>
      </c>
      <c r="G54" s="183">
        <f t="shared" si="9"/>
        <v>0</v>
      </c>
    </row>
    <row r="55" spans="1:16" ht="20" customHeight="1">
      <c r="A55" s="87" t="str">
        <f>'BASE PAX'!A30</f>
        <v>VINHOS</v>
      </c>
      <c r="B55" s="205">
        <f>'BASE PAX'!B30</f>
        <v>0</v>
      </c>
      <c r="C55" s="175">
        <f>'BASE PAX'!C30</f>
        <v>8000</v>
      </c>
      <c r="D55" s="176">
        <f t="shared" si="6"/>
        <v>9600</v>
      </c>
      <c r="E55" s="174">
        <f t="shared" si="7"/>
        <v>0</v>
      </c>
      <c r="F55" s="173">
        <f t="shared" si="8"/>
        <v>0</v>
      </c>
      <c r="G55" s="183">
        <f t="shared" si="9"/>
        <v>0</v>
      </c>
    </row>
    <row r="56" spans="1:16" ht="20" customHeight="1">
      <c r="A56" s="87" t="str">
        <f>'BASE PAX'!A31</f>
        <v>DRINKS</v>
      </c>
      <c r="B56" s="205">
        <f>'BASE PAX'!B31</f>
        <v>0</v>
      </c>
      <c r="C56" s="175">
        <f>'BASE PAX'!C31</f>
        <v>15000</v>
      </c>
      <c r="D56" s="176">
        <f t="shared" si="6"/>
        <v>18000</v>
      </c>
      <c r="E56" s="174">
        <f t="shared" si="7"/>
        <v>0</v>
      </c>
      <c r="F56" s="173">
        <f t="shared" si="8"/>
        <v>0</v>
      </c>
      <c r="G56" s="183">
        <f t="shared" si="9"/>
        <v>0</v>
      </c>
    </row>
    <row r="57" spans="1:16" ht="20" customHeight="1">
      <c r="A57" s="87" t="str">
        <f>'BASE PAX'!A32</f>
        <v>COOLER</v>
      </c>
      <c r="B57" s="205">
        <f>'BASE PAX'!B32</f>
        <v>0</v>
      </c>
      <c r="C57" s="175">
        <f>'BASE PAX'!C32</f>
        <v>5000</v>
      </c>
      <c r="D57" s="176">
        <f t="shared" si="6"/>
        <v>6000</v>
      </c>
      <c r="E57" s="174">
        <f t="shared" si="7"/>
        <v>0</v>
      </c>
      <c r="F57" s="173">
        <f t="shared" si="8"/>
        <v>0</v>
      </c>
      <c r="G57" s="183">
        <f t="shared" si="9"/>
        <v>0</v>
      </c>
    </row>
    <row r="58" spans="1:16" ht="20" customHeight="1" thickBot="1">
      <c r="A58" s="180">
        <f>'BASE PAX'!A33</f>
        <v>0</v>
      </c>
      <c r="B58" s="205">
        <f>'BASE PAX'!B33</f>
        <v>0</v>
      </c>
      <c r="C58" s="178">
        <f>'BASE PAX'!C33</f>
        <v>0</v>
      </c>
      <c r="D58" s="179">
        <f t="shared" si="6"/>
        <v>0</v>
      </c>
      <c r="E58" s="184">
        <f t="shared" si="7"/>
        <v>0</v>
      </c>
      <c r="F58" s="185">
        <f t="shared" si="8"/>
        <v>0</v>
      </c>
      <c r="G58" s="186">
        <f t="shared" si="9"/>
        <v>0</v>
      </c>
    </row>
    <row r="59" spans="1:16" ht="48" customHeight="1" thickBot="1">
      <c r="A59" s="21" t="s">
        <v>79</v>
      </c>
      <c r="B59" s="77"/>
      <c r="C59" s="126"/>
      <c r="D59" s="181"/>
      <c r="E59" s="127">
        <f>SUM(E52:E58)</f>
        <v>0</v>
      </c>
      <c r="F59" s="188">
        <f>SUM(F52:F58)</f>
        <v>0</v>
      </c>
      <c r="G59" s="189">
        <f t="shared" si="9"/>
        <v>0</v>
      </c>
    </row>
    <row r="60" spans="1:16" s="8" customFormat="1" ht="11" customHeight="1" thickBot="1">
      <c r="A60" s="16"/>
      <c r="B60" s="56"/>
      <c r="C60" s="105"/>
      <c r="D60" s="102"/>
      <c r="E60" s="102"/>
      <c r="F60" s="7"/>
      <c r="G60" s="17"/>
      <c r="H60" s="7"/>
      <c r="I60" s="7"/>
      <c r="J60" s="7"/>
      <c r="K60" s="7"/>
      <c r="L60" s="7"/>
      <c r="M60" s="7"/>
      <c r="N60" s="7"/>
      <c r="O60" s="7"/>
      <c r="P60" s="7"/>
    </row>
    <row r="61" spans="1:16" s="10" customFormat="1" ht="42" customHeight="1" thickBot="1">
      <c r="A61" s="226" t="s">
        <v>18</v>
      </c>
      <c r="B61" s="227" t="s">
        <v>52</v>
      </c>
      <c r="C61" s="228" t="s">
        <v>53</v>
      </c>
      <c r="D61" s="229" t="s">
        <v>54</v>
      </c>
      <c r="E61" s="229" t="s">
        <v>55</v>
      </c>
      <c r="F61" s="228" t="s">
        <v>158</v>
      </c>
      <c r="G61" s="230" t="s">
        <v>159</v>
      </c>
    </row>
    <row r="62" spans="1:16" ht="20" customHeight="1">
      <c r="A62" s="223" t="str">
        <f>'BASE PAX'!A37</f>
        <v>HOTTUBE</v>
      </c>
      <c r="B62" s="224">
        <f>'BASE PAX'!B37</f>
        <v>0</v>
      </c>
      <c r="C62" s="195">
        <f>'BASE PAX'!C37</f>
        <v>12000</v>
      </c>
      <c r="D62" s="225">
        <f t="shared" ref="D62:D71" si="10">C62*0.2+C62</f>
        <v>14400</v>
      </c>
      <c r="E62" s="225">
        <f t="shared" ref="E62:E71" si="11">D62*B62</f>
        <v>0</v>
      </c>
      <c r="F62" s="195">
        <f t="shared" ref="F62:F72" si="12">B62*C62</f>
        <v>0</v>
      </c>
      <c r="G62" s="194">
        <f t="shared" ref="G62:G72" si="13">E62-F62</f>
        <v>0</v>
      </c>
    </row>
    <row r="63" spans="1:16" ht="20" customHeight="1">
      <c r="A63" s="219" t="str">
        <f>'BASE PAX'!A38</f>
        <v>TREKKING 1/2 DAY</v>
      </c>
      <c r="B63" s="224">
        <f>'BASE PAX'!B38</f>
        <v>0</v>
      </c>
      <c r="C63" s="196">
        <f>'BASE PAX'!C38</f>
        <v>60000</v>
      </c>
      <c r="D63" s="220">
        <f t="shared" si="10"/>
        <v>72000</v>
      </c>
      <c r="E63" s="220">
        <f t="shared" si="11"/>
        <v>0</v>
      </c>
      <c r="F63" s="196">
        <f t="shared" si="12"/>
        <v>0</v>
      </c>
      <c r="G63" s="190">
        <f t="shared" si="13"/>
        <v>0</v>
      </c>
    </row>
    <row r="64" spans="1:16" ht="20" customHeight="1">
      <c r="A64" s="219" t="str">
        <f>'BASE PAX'!A39</f>
        <v>TREKKING FUK DAY</v>
      </c>
      <c r="B64" s="224">
        <f>'BASE PAX'!B39</f>
        <v>0</v>
      </c>
      <c r="C64" s="196">
        <f>'BASE PAX'!C39</f>
        <v>90000</v>
      </c>
      <c r="D64" s="220">
        <f t="shared" si="10"/>
        <v>108000</v>
      </c>
      <c r="E64" s="220">
        <f t="shared" si="11"/>
        <v>0</v>
      </c>
      <c r="F64" s="196">
        <f t="shared" si="12"/>
        <v>0</v>
      </c>
      <c r="G64" s="190">
        <f t="shared" si="13"/>
        <v>0</v>
      </c>
    </row>
    <row r="65" spans="1:16" ht="20" customHeight="1">
      <c r="A65" s="219" t="str">
        <f>'BASE PAX'!A40</f>
        <v>FLOTADA FAMILIAR</v>
      </c>
      <c r="B65" s="224">
        <f>'BASE PAX'!B40</f>
        <v>0</v>
      </c>
      <c r="C65" s="196">
        <f>'BASE PAX'!C40</f>
        <v>60000</v>
      </c>
      <c r="D65" s="220">
        <f t="shared" si="10"/>
        <v>72000</v>
      </c>
      <c r="E65" s="220">
        <f t="shared" si="11"/>
        <v>0</v>
      </c>
      <c r="F65" s="196">
        <f t="shared" si="12"/>
        <v>0</v>
      </c>
      <c r="G65" s="190">
        <f t="shared" si="13"/>
        <v>0</v>
      </c>
    </row>
    <row r="66" spans="1:16" ht="20" customHeight="1">
      <c r="A66" s="219" t="str">
        <f>'BASE PAX'!A41</f>
        <v>RAFTING 1/2 DAY</v>
      </c>
      <c r="B66" s="224">
        <f>'BASE PAX'!B41</f>
        <v>0</v>
      </c>
      <c r="C66" s="196">
        <f>'BASE PAX'!C41</f>
        <v>75000</v>
      </c>
      <c r="D66" s="220">
        <f t="shared" si="10"/>
        <v>90000</v>
      </c>
      <c r="E66" s="220">
        <f t="shared" si="11"/>
        <v>0</v>
      </c>
      <c r="F66" s="196">
        <f t="shared" si="12"/>
        <v>0</v>
      </c>
      <c r="G66" s="190">
        <f t="shared" si="13"/>
        <v>0</v>
      </c>
    </row>
    <row r="67" spans="1:16" ht="20" customHeight="1">
      <c r="A67" s="219" t="str">
        <f>'BASE PAX'!A42</f>
        <v>RAFTING FULL DAY</v>
      </c>
      <c r="B67" s="224">
        <f>'BASE PAX'!B42</f>
        <v>0</v>
      </c>
      <c r="C67" s="196">
        <f>'BASE PAX'!C42</f>
        <v>110000</v>
      </c>
      <c r="D67" s="220">
        <f t="shared" si="10"/>
        <v>132000</v>
      </c>
      <c r="E67" s="220">
        <f t="shared" si="11"/>
        <v>0</v>
      </c>
      <c r="F67" s="196">
        <f t="shared" si="12"/>
        <v>0</v>
      </c>
      <c r="G67" s="190">
        <f t="shared" si="13"/>
        <v>0</v>
      </c>
    </row>
    <row r="68" spans="1:16" ht="20" customHeight="1">
      <c r="A68" s="219" t="str">
        <f>'BASE PAX'!A43</f>
        <v>CABALGADA 1/2 DAy</v>
      </c>
      <c r="B68" s="224">
        <f>'BASE PAX'!B43</f>
        <v>0</v>
      </c>
      <c r="C68" s="196">
        <f>'BASE PAX'!C43</f>
        <v>90000</v>
      </c>
      <c r="D68" s="220">
        <f t="shared" si="10"/>
        <v>108000</v>
      </c>
      <c r="E68" s="220">
        <f t="shared" si="11"/>
        <v>0</v>
      </c>
      <c r="F68" s="196">
        <f t="shared" si="12"/>
        <v>0</v>
      </c>
      <c r="G68" s="190">
        <f t="shared" si="13"/>
        <v>0</v>
      </c>
    </row>
    <row r="69" spans="1:16" ht="20" customHeight="1">
      <c r="A69" s="219" t="str">
        <f>'BASE PAX'!A44</f>
        <v>CABALGADA FULL DAY</v>
      </c>
      <c r="B69" s="224">
        <f>'BASE PAX'!B44</f>
        <v>0</v>
      </c>
      <c r="C69" s="196">
        <f>'BASE PAX'!C44</f>
        <v>140000</v>
      </c>
      <c r="D69" s="220">
        <f t="shared" si="10"/>
        <v>168000</v>
      </c>
      <c r="E69" s="220">
        <f t="shared" si="11"/>
        <v>0</v>
      </c>
      <c r="F69" s="196">
        <f t="shared" si="12"/>
        <v>0</v>
      </c>
      <c r="G69" s="190">
        <f t="shared" si="13"/>
        <v>0</v>
      </c>
    </row>
    <row r="70" spans="1:16" ht="20" customHeight="1">
      <c r="A70" s="219" t="str">
        <f>'BASE PAX'!A45</f>
        <v>LANCHA YELCHO</v>
      </c>
      <c r="B70" s="224">
        <f>'BASE PAX'!B45</f>
        <v>0</v>
      </c>
      <c r="C70" s="196">
        <f>'BASE PAX'!C45</f>
        <v>120000</v>
      </c>
      <c r="D70" s="220">
        <f t="shared" si="10"/>
        <v>144000</v>
      </c>
      <c r="E70" s="220">
        <f t="shared" si="11"/>
        <v>0</v>
      </c>
      <c r="F70" s="196">
        <f t="shared" si="12"/>
        <v>0</v>
      </c>
      <c r="G70" s="190">
        <f t="shared" si="13"/>
        <v>0</v>
      </c>
    </row>
    <row r="71" spans="1:16" ht="20" customHeight="1" thickBot="1">
      <c r="A71" s="221" t="str">
        <f>'BASE PAX'!A46</f>
        <v>RECREACAO INFANTIL 3HS</v>
      </c>
      <c r="B71" s="224">
        <f>'BASE PAX'!B46</f>
        <v>0</v>
      </c>
      <c r="C71" s="197">
        <f>'BASE PAX'!C46</f>
        <v>30000</v>
      </c>
      <c r="D71" s="220">
        <f t="shared" si="10"/>
        <v>36000</v>
      </c>
      <c r="E71" s="222">
        <f t="shared" si="11"/>
        <v>0</v>
      </c>
      <c r="F71" s="197">
        <f t="shared" si="12"/>
        <v>0</v>
      </c>
      <c r="G71" s="192">
        <f t="shared" si="13"/>
        <v>0</v>
      </c>
    </row>
    <row r="72" spans="1:16" ht="48" customHeight="1" thickBot="1">
      <c r="A72" s="22" t="s">
        <v>84</v>
      </c>
      <c r="B72" s="79"/>
      <c r="C72" s="128"/>
      <c r="D72" s="128"/>
      <c r="E72" s="198">
        <f>SUM(E62:E71)</f>
        <v>0</v>
      </c>
      <c r="F72" s="204">
        <f t="shared" si="12"/>
        <v>0</v>
      </c>
      <c r="G72" s="203">
        <f t="shared" si="13"/>
        <v>0</v>
      </c>
    </row>
    <row r="73" spans="1:16" ht="37" customHeight="1" thickBot="1"/>
    <row r="74" spans="1:16" s="8" customFormat="1" ht="36" customHeight="1" thickBot="1">
      <c r="A74" s="23" t="s">
        <v>116</v>
      </c>
      <c r="B74" s="214" t="s">
        <v>52</v>
      </c>
      <c r="C74" s="215" t="s">
        <v>53</v>
      </c>
      <c r="D74" s="153" t="s">
        <v>54</v>
      </c>
      <c r="E74" s="153" t="s">
        <v>55</v>
      </c>
      <c r="F74" s="143" t="s">
        <v>162</v>
      </c>
      <c r="G74" s="147" t="s">
        <v>159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 ht="20" customHeight="1">
      <c r="A75" s="88" t="str">
        <f>'BASE PAX'!A50</f>
        <v>TRANSFER AEROPORTO CHEGADA</v>
      </c>
      <c r="B75" s="211">
        <f>'BASE PAX'!B50</f>
        <v>0</v>
      </c>
      <c r="C75" s="213">
        <v>50000</v>
      </c>
      <c r="D75" s="231">
        <f>C75*0.2+C75</f>
        <v>60000</v>
      </c>
      <c r="E75" s="231">
        <f>D75*B75</f>
        <v>0</v>
      </c>
      <c r="F75" s="210">
        <f>B75*C75</f>
        <v>0</v>
      </c>
      <c r="G75" s="199">
        <f t="shared" ref="G75:G80" si="14">E75-F75</f>
        <v>0</v>
      </c>
    </row>
    <row r="76" spans="1:16" ht="20" customHeight="1">
      <c r="A76" s="88" t="str">
        <f>'BASE PAX'!A51</f>
        <v>TRANSFER AEROPORTO PARTIDA</v>
      </c>
      <c r="B76" s="211">
        <f>'BASE PAX'!B51</f>
        <v>0</v>
      </c>
      <c r="C76" s="212">
        <f>'BASE PAX'!C51</f>
        <v>80000</v>
      </c>
      <c r="D76" s="232">
        <f>C76*0.2+C76</f>
        <v>96000</v>
      </c>
      <c r="E76" s="232">
        <f>D76*B76</f>
        <v>0</v>
      </c>
      <c r="F76" s="210">
        <f>B76*C76</f>
        <v>0</v>
      </c>
      <c r="G76" s="200">
        <f t="shared" si="14"/>
        <v>0</v>
      </c>
    </row>
    <row r="77" spans="1:16" ht="20" customHeight="1">
      <c r="A77" s="88" t="str">
        <f>'BASE PAX'!A52</f>
        <v>TRANSFERS INTERNO</v>
      </c>
      <c r="B77" s="211">
        <f>'BASE PAX'!B52</f>
        <v>0</v>
      </c>
      <c r="C77" s="212">
        <f>'BASE PAX'!C52</f>
        <v>18000</v>
      </c>
      <c r="D77" s="232">
        <f>C77*0.2+C77</f>
        <v>21600</v>
      </c>
      <c r="E77" s="232">
        <f>D77*B77</f>
        <v>0</v>
      </c>
      <c r="F77" s="210">
        <f>B77*C77</f>
        <v>0</v>
      </c>
      <c r="G77" s="200">
        <f t="shared" si="14"/>
        <v>0</v>
      </c>
    </row>
    <row r="78" spans="1:16" ht="20" customHeight="1">
      <c r="A78" s="88" t="str">
        <f>'BASE PAX'!A53</f>
        <v>EXTRAS 1</v>
      </c>
      <c r="B78" s="211">
        <f>'BASE PAX'!B53</f>
        <v>0</v>
      </c>
      <c r="C78" s="212">
        <f>'BASE PAX'!C53</f>
        <v>150000</v>
      </c>
      <c r="D78" s="232">
        <f>C78*0.2+C78</f>
        <v>180000</v>
      </c>
      <c r="E78" s="232">
        <f>D78*B78</f>
        <v>0</v>
      </c>
      <c r="F78" s="210">
        <f>B78*C78</f>
        <v>0</v>
      </c>
      <c r="G78" s="200">
        <f t="shared" si="14"/>
        <v>0</v>
      </c>
    </row>
    <row r="79" spans="1:16" ht="20" customHeight="1" thickBot="1">
      <c r="A79" s="218" t="str">
        <f>'BASE PAX'!A54</f>
        <v>EXTRAS 2</v>
      </c>
      <c r="B79" s="211">
        <f>'BASE PAX'!B54</f>
        <v>0</v>
      </c>
      <c r="C79" s="216">
        <f>'BASE PAX'!C54</f>
        <v>0</v>
      </c>
      <c r="D79" s="233">
        <f>C79*0.2+C79</f>
        <v>0</v>
      </c>
      <c r="E79" s="233">
        <f>D79*B79</f>
        <v>0</v>
      </c>
      <c r="F79" s="217">
        <f>B79*C79</f>
        <v>0</v>
      </c>
      <c r="G79" s="201">
        <f t="shared" si="14"/>
        <v>0</v>
      </c>
    </row>
    <row r="80" spans="1:16" ht="44" customHeight="1" thickBot="1">
      <c r="A80" s="23" t="s">
        <v>89</v>
      </c>
      <c r="B80" s="80"/>
      <c r="C80" s="130"/>
      <c r="D80" s="130"/>
      <c r="E80" s="131">
        <f>SUM(E75:E79)</f>
        <v>0</v>
      </c>
      <c r="F80" s="131">
        <f>SUM(F75:F79)</f>
        <v>0</v>
      </c>
      <c r="G80" s="203">
        <f t="shared" si="14"/>
        <v>0</v>
      </c>
    </row>
    <row r="81" spans="1:16" s="8" customFormat="1" ht="11" customHeight="1" thickBot="1">
      <c r="A81" s="16"/>
      <c r="B81" s="56"/>
      <c r="C81" s="105"/>
      <c r="D81" s="102"/>
      <c r="E81" s="102"/>
      <c r="F81" s="7"/>
      <c r="G81" s="17"/>
      <c r="H81" s="7"/>
      <c r="I81" s="7"/>
      <c r="J81" s="7"/>
      <c r="K81" s="7"/>
      <c r="L81" s="7"/>
      <c r="M81" s="7"/>
      <c r="N81" s="7"/>
      <c r="O81" s="7"/>
      <c r="P81" s="7"/>
    </row>
    <row r="82" spans="1:16" s="9" customFormat="1" ht="42" customHeight="1" thickBot="1">
      <c r="A82" s="246" t="s">
        <v>117</v>
      </c>
      <c r="B82" s="247" t="s">
        <v>52</v>
      </c>
      <c r="C82" s="248" t="s">
        <v>53</v>
      </c>
      <c r="D82" s="249" t="s">
        <v>54</v>
      </c>
      <c r="E82" s="249" t="s">
        <v>55</v>
      </c>
      <c r="F82" s="248" t="s">
        <v>162</v>
      </c>
      <c r="G82" s="147" t="s">
        <v>159</v>
      </c>
    </row>
    <row r="83" spans="1:16" ht="20" customHeight="1">
      <c r="A83" s="81" t="str">
        <f>'BASE PAX'!A58</f>
        <v>WS INSTRUCTOR</v>
      </c>
      <c r="B83" s="238">
        <f>'BASE PAX'!B58</f>
        <v>0</v>
      </c>
      <c r="C83" s="239">
        <f>'BASE PAX'!C58</f>
        <v>3415000</v>
      </c>
      <c r="D83" s="240">
        <f>(C83*0.15)+C83</f>
        <v>3927250</v>
      </c>
      <c r="E83" s="240">
        <f>D83*B83</f>
        <v>0</v>
      </c>
      <c r="F83" s="234">
        <f>B83*C83</f>
        <v>0</v>
      </c>
      <c r="G83" s="199">
        <f>E83-F83</f>
        <v>0</v>
      </c>
    </row>
    <row r="84" spans="1:16" ht="20" customHeight="1">
      <c r="A84" s="81" t="str">
        <f>'BASE PAX'!A59</f>
        <v>PRODUCER FEE</v>
      </c>
      <c r="B84" s="235">
        <f>'BASE PAX'!B59</f>
        <v>0</v>
      </c>
      <c r="C84" s="236">
        <f>'BASE PAX'!C59</f>
        <v>180000</v>
      </c>
      <c r="D84" s="237">
        <f>(C84*0.15)+C84</f>
        <v>207000</v>
      </c>
      <c r="E84" s="237">
        <f>D84*B84</f>
        <v>0</v>
      </c>
      <c r="F84" s="234">
        <f>B84*C84</f>
        <v>0</v>
      </c>
      <c r="G84" s="200">
        <f>E84-F84</f>
        <v>0</v>
      </c>
    </row>
    <row r="85" spans="1:16" ht="20" customHeight="1" thickBot="1">
      <c r="A85" s="241">
        <f>'BASE PAX'!A60</f>
        <v>0</v>
      </c>
      <c r="B85" s="242">
        <f>'BASE PAX'!B60</f>
        <v>0</v>
      </c>
      <c r="C85" s="243">
        <f>'BASE PAX'!C60</f>
        <v>20000</v>
      </c>
      <c r="D85" s="244">
        <f>(C85*0.15)+C85</f>
        <v>23000</v>
      </c>
      <c r="E85" s="244">
        <f>D85*B85</f>
        <v>0</v>
      </c>
      <c r="F85" s="245">
        <f>B85*C85</f>
        <v>0</v>
      </c>
      <c r="G85" s="201">
        <f>E85-F85</f>
        <v>0</v>
      </c>
    </row>
    <row r="86" spans="1:16" ht="41" customHeight="1" thickBot="1">
      <c r="A86" s="24" t="s">
        <v>163</v>
      </c>
      <c r="B86" s="82"/>
      <c r="C86" s="132"/>
      <c r="D86" s="132"/>
      <c r="E86" s="133">
        <f>SUM(E83:E85)</f>
        <v>0</v>
      </c>
      <c r="F86" s="133">
        <f>SUM(F81:F85)</f>
        <v>0</v>
      </c>
      <c r="G86" s="203">
        <f>E86-F86</f>
        <v>0</v>
      </c>
    </row>
    <row r="87" spans="1:16" s="8" customFormat="1" ht="11" customHeight="1" thickBot="1">
      <c r="A87" s="16"/>
      <c r="B87" s="56"/>
      <c r="C87" s="105"/>
      <c r="D87" s="102"/>
      <c r="E87" s="102"/>
      <c r="F87" s="7"/>
      <c r="G87" s="17"/>
      <c r="H87" s="7"/>
      <c r="I87" s="7"/>
      <c r="J87" s="7"/>
      <c r="K87" s="7"/>
      <c r="L87" s="7"/>
      <c r="M87" s="7"/>
      <c r="N87" s="7"/>
      <c r="O87" s="7"/>
      <c r="P87" s="7"/>
    </row>
    <row r="88" spans="1:16" ht="38" customHeight="1" thickBot="1">
      <c r="A88" s="258" t="s">
        <v>164</v>
      </c>
      <c r="B88" s="259" t="s">
        <v>92</v>
      </c>
      <c r="C88" s="250" t="s">
        <v>53</v>
      </c>
      <c r="D88" s="260" t="s">
        <v>54</v>
      </c>
      <c r="E88" s="260" t="s">
        <v>55</v>
      </c>
      <c r="F88" s="250"/>
      <c r="G88" s="147" t="s">
        <v>159</v>
      </c>
    </row>
    <row r="89" spans="1:16" ht="20" customHeight="1">
      <c r="A89" s="255" t="str">
        <f>'BASE PAX'!A64</f>
        <v>COORDENAÇÃO PRODUÇÃO</v>
      </c>
      <c r="B89" s="256">
        <f>'BASE PAX'!B64</f>
        <v>0</v>
      </c>
      <c r="C89" s="257">
        <f>'BASE PAX'!C64</f>
        <v>50000</v>
      </c>
      <c r="D89" s="257">
        <f>'BASE PAX'!D64</f>
        <v>0</v>
      </c>
      <c r="E89" s="121">
        <f>D89*B89</f>
        <v>0</v>
      </c>
      <c r="F89" s="257"/>
      <c r="G89" s="199">
        <f t="shared" ref="G89:G94" si="15">E89*0.2</f>
        <v>0</v>
      </c>
    </row>
    <row r="90" spans="1:16" ht="20" customHeight="1">
      <c r="A90" s="251" t="str">
        <f>'BASE PAX'!A65</f>
        <v>EXTRA MÃO DE OBRA</v>
      </c>
      <c r="B90" s="256">
        <f>'BASE PAX'!B65</f>
        <v>0</v>
      </c>
      <c r="C90" s="253">
        <f>'BASE PAX'!C65</f>
        <v>50000</v>
      </c>
      <c r="D90" s="253">
        <f>'BASE PAX'!D65</f>
        <v>0</v>
      </c>
      <c r="E90" s="121">
        <f t="shared" ref="E90:E94" si="16">D90*B90</f>
        <v>0</v>
      </c>
      <c r="F90" s="253"/>
      <c r="G90" s="199">
        <f t="shared" si="15"/>
        <v>0</v>
      </c>
    </row>
    <row r="91" spans="1:16" ht="20" customHeight="1">
      <c r="A91" s="251" t="str">
        <f>'BASE PAX'!A66</f>
        <v>TAXA LIMPEZA CHECK IN / CHECKOUT</v>
      </c>
      <c r="B91" s="252">
        <f>'BASE PAX'!B66</f>
        <v>0</v>
      </c>
      <c r="C91" s="253">
        <f>'BASE PAX'!C66</f>
        <v>40000</v>
      </c>
      <c r="D91" s="253">
        <f>'BASE PAX'!D66</f>
        <v>0</v>
      </c>
      <c r="E91" s="121">
        <f t="shared" si="16"/>
        <v>0</v>
      </c>
      <c r="F91" s="253"/>
      <c r="G91" s="199">
        <f t="shared" si="15"/>
        <v>0</v>
      </c>
    </row>
    <row r="92" spans="1:16" ht="20" customHeight="1">
      <c r="A92" s="251" t="str">
        <f>'BASE PAX'!A67</f>
        <v>TAXA LIMPEZA DIARIA</v>
      </c>
      <c r="B92" s="254">
        <f>'BASE PAX'!B67</f>
        <v>0</v>
      </c>
      <c r="C92" s="253">
        <f>'BASE PAX'!C67</f>
        <v>30000</v>
      </c>
      <c r="D92" s="253">
        <f>'BASE PAX'!D67</f>
        <v>0</v>
      </c>
      <c r="E92" s="121">
        <f t="shared" si="16"/>
        <v>0</v>
      </c>
      <c r="F92" s="253"/>
      <c r="G92" s="199">
        <f t="shared" si="15"/>
        <v>0</v>
      </c>
    </row>
    <row r="93" spans="1:16" ht="20" customHeight="1">
      <c r="A93" s="251" t="str">
        <f>'BASE PAX'!A68</f>
        <v>SOUVENIR</v>
      </c>
      <c r="B93" s="254">
        <f>'BASE PAX'!B68</f>
        <v>0</v>
      </c>
      <c r="C93" s="253">
        <f>'BASE PAX'!C68</f>
        <v>15000</v>
      </c>
      <c r="D93" s="253">
        <f>'BASE PAX'!D68</f>
        <v>0</v>
      </c>
      <c r="E93" s="121">
        <f t="shared" si="16"/>
        <v>0</v>
      </c>
      <c r="F93" s="253"/>
      <c r="G93" s="199">
        <f t="shared" si="15"/>
        <v>0</v>
      </c>
    </row>
    <row r="94" spans="1:16" ht="20" customHeight="1" thickBot="1">
      <c r="A94" s="251" t="str">
        <f>'BASE PAX'!A69</f>
        <v>ASSISTENTE COORDENAÇÃO</v>
      </c>
      <c r="B94" s="256">
        <f>'BASE PAX'!B69</f>
        <v>0</v>
      </c>
      <c r="C94" s="253">
        <f>'BASE PAX'!C69</f>
        <v>30000</v>
      </c>
      <c r="D94" s="253">
        <f>'BASE PAX'!D69</f>
        <v>0</v>
      </c>
      <c r="E94" s="121">
        <f t="shared" si="16"/>
        <v>0</v>
      </c>
      <c r="F94" s="253"/>
      <c r="G94" s="199">
        <f t="shared" si="15"/>
        <v>0</v>
      </c>
    </row>
    <row r="95" spans="1:16" ht="41" customHeight="1" thickBot="1">
      <c r="A95" s="25" t="s">
        <v>101</v>
      </c>
      <c r="B95" s="83"/>
      <c r="C95" s="134"/>
      <c r="D95" s="134"/>
      <c r="E95" s="135">
        <f>SUM(E89:E94)</f>
        <v>0</v>
      </c>
      <c r="F95" s="135"/>
      <c r="G95" s="203">
        <f>SUM(G89:G94)</f>
        <v>0</v>
      </c>
    </row>
    <row r="96" spans="1:16" s="8" customFormat="1" ht="11" customHeight="1" thickBot="1">
      <c r="A96" s="16"/>
      <c r="B96" s="56"/>
      <c r="C96" s="105"/>
      <c r="D96" s="102"/>
      <c r="E96" s="102"/>
      <c r="F96" s="7"/>
      <c r="G96" s="17"/>
      <c r="H96" s="7"/>
      <c r="I96" s="7"/>
      <c r="J96" s="7"/>
      <c r="K96" s="7"/>
      <c r="L96" s="7"/>
      <c r="M96" s="7"/>
      <c r="N96" s="7"/>
      <c r="O96" s="7"/>
      <c r="P96" s="7"/>
    </row>
    <row r="97" spans="1:16" ht="38" customHeight="1" thickBot="1">
      <c r="A97" s="26" t="s">
        <v>165</v>
      </c>
      <c r="B97" s="27" t="s">
        <v>92</v>
      </c>
      <c r="C97" s="136" t="s">
        <v>53</v>
      </c>
      <c r="D97" s="136" t="s">
        <v>54</v>
      </c>
      <c r="E97" s="137" t="s">
        <v>55</v>
      </c>
      <c r="F97" s="20"/>
      <c r="G97" s="20"/>
    </row>
    <row r="98" spans="1:16" ht="23" customHeight="1" thickBot="1">
      <c r="A98" s="84" t="str">
        <f>'BASE PAX'!A73</f>
        <v xml:space="preserve">QUINCHO DAY USE / CABIN </v>
      </c>
      <c r="B98" s="279">
        <f>'BASE PAX'!B73</f>
        <v>0</v>
      </c>
      <c r="C98" s="138">
        <f>'BASE PAX'!C73</f>
        <v>15000</v>
      </c>
      <c r="D98" s="138">
        <f>C98+(C98*0.2)</f>
        <v>18000</v>
      </c>
      <c r="E98" s="139">
        <f>D98*B98</f>
        <v>0</v>
      </c>
      <c r="F98" s="19"/>
      <c r="G98" s="17"/>
    </row>
    <row r="99" spans="1:16" ht="42" customHeight="1" thickBot="1">
      <c r="A99" s="26" t="s">
        <v>104</v>
      </c>
      <c r="B99" s="86"/>
      <c r="C99" s="140"/>
      <c r="D99" s="140"/>
      <c r="E99" s="141">
        <f>E98</f>
        <v>0</v>
      </c>
    </row>
    <row r="100" spans="1:16" s="6" customFormat="1" ht="20" customHeight="1">
      <c r="A100" s="28"/>
      <c r="B100" s="52"/>
      <c r="C100" s="11"/>
      <c r="D100" s="11"/>
      <c r="E100" s="11"/>
      <c r="F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9" customHeight="1"/>
  </sheetData>
  <sheetProtection sheet="1" objects="1" scenarios="1"/>
  <mergeCells count="17">
    <mergeCell ref="A11:A12"/>
    <mergeCell ref="A28:D28"/>
    <mergeCell ref="B5:C5"/>
    <mergeCell ref="F20:F21"/>
    <mergeCell ref="B11:B12"/>
    <mergeCell ref="D11:D12"/>
    <mergeCell ref="B9:C9"/>
    <mergeCell ref="D9:E9"/>
    <mergeCell ref="B8:C8"/>
    <mergeCell ref="D8:E8"/>
    <mergeCell ref="D6:E6"/>
    <mergeCell ref="B6:C6"/>
    <mergeCell ref="I11:K11"/>
    <mergeCell ref="D7:E7"/>
    <mergeCell ref="B7:C7"/>
    <mergeCell ref="F11:G13"/>
    <mergeCell ref="G20:G21"/>
  </mergeCells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/>
  <dimension ref="A1:P101"/>
  <sheetViews>
    <sheetView topLeftCell="A2" workbookViewId="0">
      <selection activeCell="C92" sqref="C92"/>
    </sheetView>
  </sheetViews>
  <sheetFormatPr baseColWidth="10" defaultColWidth="11" defaultRowHeight="17"/>
  <cols>
    <col min="1" max="1" width="48.796875" style="7" customWidth="1"/>
    <col min="2" max="2" width="23.796875" style="52" customWidth="1"/>
    <col min="3" max="3" width="24" style="7" customWidth="1"/>
    <col min="4" max="4" width="22.796875" style="12" customWidth="1"/>
    <col min="5" max="5" width="22.19921875" style="11" customWidth="1"/>
    <col min="6" max="6" width="31.19921875" style="7" customWidth="1"/>
    <col min="7" max="7" width="27.796875" style="6" customWidth="1"/>
    <col min="8" max="8" width="32.3984375" style="7" customWidth="1"/>
    <col min="9" max="9" width="23.59765625" style="7" customWidth="1"/>
    <col min="10" max="10" width="25.19921875" style="7" customWidth="1"/>
    <col min="11" max="11" width="28.796875" style="7" customWidth="1"/>
    <col min="12" max="12" width="36.19921875" style="7" customWidth="1"/>
    <col min="13" max="28" width="11" style="7" customWidth="1"/>
    <col min="29" max="16384" width="11" style="7"/>
  </cols>
  <sheetData>
    <row r="1" spans="1:16" ht="22" hidden="1" customHeight="1" thickBot="1"/>
    <row r="2" spans="1:16" ht="7" customHeight="1">
      <c r="D2" s="13"/>
    </row>
    <row r="3" spans="1:16" s="10" customFormat="1" ht="1" customHeight="1">
      <c r="A3" s="14"/>
      <c r="B3" s="53"/>
      <c r="C3" s="15" t="s">
        <v>11</v>
      </c>
      <c r="D3" s="15"/>
      <c r="E3" s="15"/>
      <c r="G3" s="9"/>
    </row>
    <row r="4" spans="1:16" s="10" customFormat="1" ht="19" customHeight="1">
      <c r="A4" s="14"/>
      <c r="B4" s="53"/>
      <c r="C4" s="15"/>
      <c r="D4" s="15"/>
      <c r="E4" s="15"/>
      <c r="G4" s="9"/>
    </row>
    <row r="5" spans="1:16" s="10" customFormat="1" ht="46" customHeight="1">
      <c r="A5" s="54" t="s">
        <v>129</v>
      </c>
      <c r="B5" s="674">
        <v>2</v>
      </c>
      <c r="C5" s="675"/>
      <c r="D5" s="277"/>
      <c r="E5" s="277" t="s">
        <v>13</v>
      </c>
      <c r="F5" s="278"/>
      <c r="G5" s="9"/>
    </row>
    <row r="6" spans="1:16" s="8" customFormat="1" ht="37" customHeight="1">
      <c r="A6" s="54" t="s">
        <v>130</v>
      </c>
      <c r="B6" s="683">
        <v>2</v>
      </c>
      <c r="C6" s="684"/>
      <c r="D6" s="682" t="s">
        <v>131</v>
      </c>
      <c r="E6" s="661"/>
      <c r="F6" s="106">
        <f>D21</f>
        <v>0</v>
      </c>
      <c r="G6" s="9"/>
      <c r="H6" s="10"/>
    </row>
    <row r="7" spans="1:16" s="8" customFormat="1" ht="33" customHeight="1">
      <c r="A7" s="55" t="s">
        <v>132</v>
      </c>
      <c r="B7" s="662">
        <f>CALENDAR!C2</f>
        <v>0</v>
      </c>
      <c r="C7" s="661"/>
      <c r="D7" s="660" t="s">
        <v>133</v>
      </c>
      <c r="E7" s="661"/>
      <c r="F7" s="107">
        <f>SUM(F12:F20)</f>
        <v>0</v>
      </c>
      <c r="G7" s="9"/>
      <c r="H7" s="10"/>
    </row>
    <row r="8" spans="1:16" s="8" customFormat="1" ht="31" customHeight="1">
      <c r="A8" s="54" t="s">
        <v>134</v>
      </c>
      <c r="B8" s="680">
        <f>CALENDAR!C3</f>
        <v>0</v>
      </c>
      <c r="C8" s="661"/>
      <c r="D8" s="681" t="s">
        <v>135</v>
      </c>
      <c r="E8" s="661"/>
      <c r="F8" s="108">
        <f>F6-F7</f>
        <v>0</v>
      </c>
      <c r="G8" s="9"/>
      <c r="H8" s="10"/>
    </row>
    <row r="9" spans="1:16" s="8" customFormat="1" ht="32" customHeight="1">
      <c r="A9" s="55" t="s">
        <v>136</v>
      </c>
      <c r="B9" s="678">
        <f>CALENDAR!J2</f>
        <v>0</v>
      </c>
      <c r="C9" s="661"/>
      <c r="D9" s="679" t="s">
        <v>137</v>
      </c>
      <c r="E9" s="661"/>
      <c r="F9" s="1"/>
      <c r="G9" s="9"/>
      <c r="H9" s="10"/>
    </row>
    <row r="10" spans="1:16" s="8" customFormat="1" ht="30" customHeight="1" thickBot="1">
      <c r="A10" s="16"/>
      <c r="B10" s="56"/>
      <c r="C10" s="6"/>
      <c r="D10" s="7"/>
      <c r="E10" s="7"/>
      <c r="F10" s="7"/>
      <c r="G10" s="17"/>
      <c r="H10" s="7"/>
      <c r="I10" s="7"/>
      <c r="J10" s="7"/>
      <c r="K10" s="7"/>
      <c r="L10" s="7"/>
      <c r="M10" s="7"/>
      <c r="N10" s="7"/>
      <c r="O10" s="7"/>
      <c r="P10" s="7"/>
    </row>
    <row r="11" spans="1:16" s="6" customFormat="1" ht="44" customHeight="1" thickBot="1">
      <c r="A11" s="671" t="s">
        <v>138</v>
      </c>
      <c r="B11" s="677" t="s">
        <v>139</v>
      </c>
      <c r="C11" s="57" t="s">
        <v>140</v>
      </c>
      <c r="D11" s="677" t="s">
        <v>141</v>
      </c>
      <c r="E11" s="7"/>
      <c r="F11" s="738" t="str">
        <f>E5</f>
        <v>CHAITEN</v>
      </c>
      <c r="G11" s="664"/>
      <c r="H11" s="7"/>
      <c r="I11" s="658" t="s">
        <v>142</v>
      </c>
      <c r="J11" s="659"/>
      <c r="K11" s="659"/>
      <c r="L11" s="7"/>
      <c r="M11" s="7"/>
      <c r="N11" s="7"/>
      <c r="O11" s="7"/>
      <c r="P11" s="7"/>
    </row>
    <row r="12" spans="1:16" s="6" customFormat="1" ht="32" customHeight="1">
      <c r="A12" s="659"/>
      <c r="B12" s="659"/>
      <c r="C12" s="58">
        <v>0.05</v>
      </c>
      <c r="D12" s="659"/>
      <c r="E12" s="7"/>
      <c r="F12" s="665"/>
      <c r="G12" s="666"/>
      <c r="H12" s="7"/>
      <c r="I12" s="59" t="s">
        <v>126</v>
      </c>
      <c r="J12" s="60" t="s">
        <v>143</v>
      </c>
      <c r="K12" s="60" t="s">
        <v>144</v>
      </c>
      <c r="L12" s="7"/>
      <c r="M12" s="7"/>
      <c r="N12" s="7"/>
      <c r="O12" s="7"/>
      <c r="P12" s="7"/>
    </row>
    <row r="13" spans="1:16" ht="22" customHeight="1" thickBot="1">
      <c r="A13" s="61" t="s">
        <v>15</v>
      </c>
      <c r="B13" s="109">
        <f>G28</f>
        <v>0</v>
      </c>
      <c r="C13" s="109">
        <f t="shared" ref="C13:C20" si="0">B13*$C$12</f>
        <v>0</v>
      </c>
      <c r="D13" s="109">
        <f t="shared" ref="D13:D20" si="1">B13+(B13*$C$12)</f>
        <v>0</v>
      </c>
      <c r="E13" s="7"/>
      <c r="F13" s="667"/>
      <c r="G13" s="668"/>
      <c r="I13" s="3"/>
      <c r="J13" s="4"/>
      <c r="K13" s="5"/>
    </row>
    <row r="14" spans="1:16" s="6" customFormat="1" ht="20" customHeight="1">
      <c r="A14" s="62" t="s">
        <v>16</v>
      </c>
      <c r="B14" s="110">
        <f>J49</f>
        <v>0</v>
      </c>
      <c r="C14" s="110">
        <f t="shared" si="0"/>
        <v>0</v>
      </c>
      <c r="D14" s="110">
        <f t="shared" si="1"/>
        <v>0</v>
      </c>
      <c r="E14" s="7"/>
      <c r="F14" s="271" t="str">
        <f t="shared" ref="F14:F19" si="2">A14</f>
        <v>2.FOOD</v>
      </c>
      <c r="G14" s="261">
        <f>G49</f>
        <v>0</v>
      </c>
      <c r="H14" s="7"/>
      <c r="I14" s="3"/>
      <c r="J14" s="4"/>
      <c r="K14" s="5"/>
      <c r="L14" s="7"/>
      <c r="M14" s="7"/>
      <c r="N14" s="7"/>
      <c r="O14" s="7"/>
      <c r="P14" s="7"/>
    </row>
    <row r="15" spans="1:16" s="6" customFormat="1" ht="20" customHeight="1">
      <c r="A15" s="63" t="s">
        <v>17</v>
      </c>
      <c r="B15" s="111">
        <f>E59</f>
        <v>0</v>
      </c>
      <c r="C15" s="111">
        <f t="shared" si="0"/>
        <v>0</v>
      </c>
      <c r="D15" s="111">
        <f t="shared" si="1"/>
        <v>0</v>
      </c>
      <c r="E15" s="7"/>
      <c r="F15" s="272" t="str">
        <f t="shared" si="2"/>
        <v>3.DRINKS</v>
      </c>
      <c r="G15" s="262">
        <f>G59</f>
        <v>0</v>
      </c>
      <c r="H15" s="7"/>
      <c r="I15" s="3"/>
      <c r="J15" s="4"/>
      <c r="K15" s="5"/>
      <c r="L15" s="7"/>
      <c r="M15" s="7"/>
      <c r="N15" s="7"/>
      <c r="O15" s="7"/>
      <c r="P15" s="7"/>
    </row>
    <row r="16" spans="1:16" s="6" customFormat="1" ht="20" customHeight="1">
      <c r="A16" s="55" t="s">
        <v>18</v>
      </c>
      <c r="B16" s="112">
        <f>$E$72</f>
        <v>0</v>
      </c>
      <c r="C16" s="112">
        <f t="shared" si="0"/>
        <v>0</v>
      </c>
      <c r="D16" s="112">
        <f t="shared" si="1"/>
        <v>0</v>
      </c>
      <c r="E16" s="7"/>
      <c r="F16" s="273" t="str">
        <f t="shared" si="2"/>
        <v>4. ACTIVITIES</v>
      </c>
      <c r="G16" s="263">
        <f>G72</f>
        <v>0</v>
      </c>
      <c r="H16" s="7"/>
      <c r="I16" s="3"/>
      <c r="J16" s="4"/>
      <c r="K16" s="5"/>
      <c r="L16" s="7"/>
      <c r="M16" s="7"/>
      <c r="N16" s="7"/>
      <c r="O16" s="7"/>
      <c r="P16" s="7"/>
    </row>
    <row r="17" spans="1:16" s="6" customFormat="1" ht="20" customHeight="1">
      <c r="A17" s="63" t="s">
        <v>19</v>
      </c>
      <c r="B17" s="111">
        <f>$E$80</f>
        <v>0</v>
      </c>
      <c r="C17" s="111">
        <f t="shared" si="0"/>
        <v>0</v>
      </c>
      <c r="D17" s="111">
        <f t="shared" si="1"/>
        <v>0</v>
      </c>
      <c r="E17" s="7"/>
      <c r="F17" s="274" t="str">
        <f t="shared" si="2"/>
        <v>5.TRANSPORT</v>
      </c>
      <c r="G17" s="174">
        <f>G80</f>
        <v>0</v>
      </c>
      <c r="H17" s="7"/>
      <c r="I17" s="3"/>
      <c r="J17" s="4"/>
      <c r="K17" s="5"/>
      <c r="L17" s="7"/>
      <c r="M17" s="7"/>
      <c r="N17" s="7"/>
      <c r="O17" s="7"/>
      <c r="P17" s="7"/>
    </row>
    <row r="18" spans="1:16" s="6" customFormat="1" ht="20" customHeight="1">
      <c r="A18" s="64" t="s">
        <v>20</v>
      </c>
      <c r="B18" s="113">
        <f>$E$86</f>
        <v>0</v>
      </c>
      <c r="C18" s="113">
        <f t="shared" si="0"/>
        <v>0</v>
      </c>
      <c r="D18" s="113">
        <f t="shared" si="1"/>
        <v>0</v>
      </c>
      <c r="E18" s="10"/>
      <c r="F18" s="275" t="str">
        <f t="shared" si="2"/>
        <v>6.EXPERIENCES</v>
      </c>
      <c r="G18" s="264">
        <f>G86</f>
        <v>0</v>
      </c>
      <c r="H18" s="7"/>
      <c r="I18" s="3"/>
      <c r="J18" s="4"/>
      <c r="K18" s="5"/>
      <c r="L18" s="7"/>
      <c r="M18" s="7"/>
      <c r="N18" s="7"/>
      <c r="O18" s="7"/>
      <c r="P18" s="7"/>
    </row>
    <row r="19" spans="1:16" s="6" customFormat="1" ht="20" customHeight="1">
      <c r="A19" s="65" t="s">
        <v>21</v>
      </c>
      <c r="B19" s="114">
        <f>$E$95</f>
        <v>0</v>
      </c>
      <c r="C19" s="114">
        <f t="shared" si="0"/>
        <v>0</v>
      </c>
      <c r="D19" s="114">
        <f t="shared" si="1"/>
        <v>0</v>
      </c>
      <c r="E19" s="7"/>
      <c r="F19" s="276" t="str">
        <f t="shared" si="2"/>
        <v>7.EXTRAS</v>
      </c>
      <c r="G19" s="151">
        <f>G95</f>
        <v>0</v>
      </c>
      <c r="H19" s="7"/>
      <c r="I19" s="3"/>
      <c r="J19" s="4"/>
      <c r="K19" s="5"/>
      <c r="L19" s="7"/>
      <c r="M19" s="7"/>
      <c r="N19" s="7"/>
      <c r="O19" s="7"/>
      <c r="P19" s="7"/>
    </row>
    <row r="20" spans="1:16" s="6" customFormat="1" ht="20" customHeight="1" thickBot="1">
      <c r="A20" s="66" t="s">
        <v>22</v>
      </c>
      <c r="B20" s="115">
        <f>$E$99</f>
        <v>0</v>
      </c>
      <c r="C20" s="115">
        <f t="shared" si="0"/>
        <v>0</v>
      </c>
      <c r="D20" s="115">
        <f t="shared" si="1"/>
        <v>0</v>
      </c>
      <c r="E20" s="7"/>
      <c r="F20" s="676" t="s">
        <v>145</v>
      </c>
      <c r="G20" s="669">
        <f>G14+G15+G16+G17+G18+G19</f>
        <v>0</v>
      </c>
      <c r="H20" s="7"/>
      <c r="I20" s="3"/>
      <c r="J20" s="4"/>
      <c r="K20" s="5"/>
      <c r="L20" s="7"/>
      <c r="M20" s="7"/>
      <c r="N20" s="7"/>
      <c r="O20" s="7"/>
      <c r="P20" s="7"/>
    </row>
    <row r="21" spans="1:16" ht="35" customHeight="1" thickBot="1">
      <c r="A21" s="67" t="s">
        <v>146</v>
      </c>
      <c r="B21" s="116">
        <f>SUM(B13:B20)</f>
        <v>0</v>
      </c>
      <c r="C21" s="116"/>
      <c r="D21" s="116">
        <f>SUM(D13:D20)</f>
        <v>0</v>
      </c>
      <c r="E21" s="51"/>
      <c r="F21" s="670"/>
      <c r="G21" s="670"/>
    </row>
    <row r="22" spans="1:16" s="8" customFormat="1" ht="11" customHeight="1" thickBot="1">
      <c r="A22" s="16"/>
      <c r="B22" s="56"/>
      <c r="C22" s="6"/>
      <c r="D22" s="7"/>
      <c r="E22" s="7"/>
      <c r="F22" s="7"/>
      <c r="G22" s="17"/>
      <c r="H22" s="7"/>
      <c r="I22" s="7"/>
      <c r="J22" s="7"/>
      <c r="K22" s="7"/>
      <c r="L22" s="7"/>
      <c r="M22" s="7"/>
      <c r="N22" s="7"/>
      <c r="O22" s="7"/>
      <c r="P22" s="7"/>
    </row>
    <row r="23" spans="1:16" ht="44" customHeight="1" thickBot="1">
      <c r="A23" s="68" t="s">
        <v>114</v>
      </c>
      <c r="B23" s="69" t="s">
        <v>52</v>
      </c>
      <c r="C23" s="69" t="s">
        <v>147</v>
      </c>
      <c r="D23" s="69" t="s">
        <v>148</v>
      </c>
      <c r="E23" s="70" t="s">
        <v>149</v>
      </c>
      <c r="F23" s="70" t="s">
        <v>150</v>
      </c>
      <c r="G23" s="70" t="s">
        <v>151</v>
      </c>
    </row>
    <row r="24" spans="1:16" ht="20" customHeight="1">
      <c r="A24" s="71" t="s">
        <v>170</v>
      </c>
      <c r="B24" s="93">
        <v>0</v>
      </c>
      <c r="C24" s="117">
        <f>288190.9</f>
        <v>288190.90000000002</v>
      </c>
      <c r="D24" s="118"/>
      <c r="E24" s="119">
        <f>(C24+D24)*$B$9*B24</f>
        <v>0</v>
      </c>
      <c r="F24" s="2">
        <v>0</v>
      </c>
      <c r="G24" s="119">
        <f>E24-(E24*F24)</f>
        <v>0</v>
      </c>
    </row>
    <row r="25" spans="1:16" ht="20" customHeight="1">
      <c r="A25" s="71" t="s">
        <v>171</v>
      </c>
      <c r="B25" s="93">
        <v>1</v>
      </c>
      <c r="C25" s="117">
        <f>288190.9</f>
        <v>288190.90000000002</v>
      </c>
      <c r="D25" s="118">
        <f>$B$6*50000</f>
        <v>100000</v>
      </c>
      <c r="E25" s="119">
        <f>(C25+D25)*$B$9*B25</f>
        <v>0</v>
      </c>
      <c r="F25" s="2">
        <v>0</v>
      </c>
      <c r="G25" s="119">
        <f>E25-(E25*F25)</f>
        <v>0</v>
      </c>
    </row>
    <row r="26" spans="1:16" ht="20" customHeight="1">
      <c r="A26" s="71" t="s">
        <v>172</v>
      </c>
      <c r="B26" s="93">
        <v>0</v>
      </c>
      <c r="C26" s="117">
        <f>259371.81</f>
        <v>259371.81</v>
      </c>
      <c r="D26" s="118"/>
      <c r="E26" s="119">
        <f>(C26+D26)*$B$9*B26</f>
        <v>0</v>
      </c>
      <c r="F26" s="2">
        <v>0</v>
      </c>
      <c r="G26" s="119">
        <f>E26-(E26*F26)</f>
        <v>0</v>
      </c>
    </row>
    <row r="27" spans="1:16" ht="20" customHeight="1" thickBot="1">
      <c r="A27" s="71" t="s">
        <v>173</v>
      </c>
      <c r="B27" s="93">
        <v>0</v>
      </c>
      <c r="C27" s="117">
        <f>259371.81</f>
        <v>259371.81</v>
      </c>
      <c r="D27" s="118">
        <v>50000</v>
      </c>
      <c r="E27" s="119">
        <f>(C27+D27)*$B$9*B27</f>
        <v>0</v>
      </c>
      <c r="F27" s="2">
        <v>0</v>
      </c>
      <c r="G27" s="119">
        <f>E27-(E27*F27)</f>
        <v>0</v>
      </c>
    </row>
    <row r="28" spans="1:16" ht="29" customHeight="1" thickBot="1">
      <c r="A28" s="672" t="s">
        <v>156</v>
      </c>
      <c r="B28" s="673"/>
      <c r="C28" s="673"/>
      <c r="D28" s="673"/>
      <c r="E28" s="72"/>
      <c r="F28" s="73"/>
      <c r="G28" s="120">
        <f>SUM(G24:G27)</f>
        <v>0</v>
      </c>
    </row>
    <row r="29" spans="1:16" s="8" customFormat="1" ht="11" customHeight="1" thickBot="1">
      <c r="A29" s="16"/>
      <c r="B29" s="56"/>
      <c r="C29" s="6"/>
      <c r="D29" s="7"/>
      <c r="E29" s="7"/>
      <c r="F29" s="7"/>
      <c r="G29" s="17"/>
      <c r="H29" s="7"/>
      <c r="I29" s="7"/>
      <c r="J29" s="7"/>
      <c r="K29" s="7"/>
      <c r="L29" s="7"/>
      <c r="M29" s="7"/>
      <c r="N29" s="7"/>
      <c r="O29" s="7"/>
      <c r="P29" s="7"/>
    </row>
    <row r="30" spans="1:16" s="10" customFormat="1" ht="40" customHeight="1" thickBot="1">
      <c r="A30" s="18" t="s">
        <v>51</v>
      </c>
      <c r="B30" s="159" t="s">
        <v>52</v>
      </c>
      <c r="C30" s="160" t="s">
        <v>53</v>
      </c>
      <c r="D30" s="153" t="s">
        <v>54</v>
      </c>
      <c r="E30" s="149" t="s">
        <v>157</v>
      </c>
      <c r="F30" s="103" t="s">
        <v>158</v>
      </c>
      <c r="G30" s="147" t="s">
        <v>159</v>
      </c>
    </row>
    <row r="31" spans="1:16" ht="20" customHeight="1" thickBot="1">
      <c r="A31" s="154" t="str">
        <f>'BASE PAX'!A6</f>
        <v>BREAKFAST</v>
      </c>
      <c r="B31" s="284">
        <f>(B5*B9*'BASE PAX'!G6)+('BASE PAX'!H6*B6*B9)</f>
        <v>0</v>
      </c>
      <c r="C31" s="121"/>
      <c r="D31" s="144"/>
      <c r="E31" s="283"/>
      <c r="F31" s="122">
        <f t="shared" ref="F31:F46" si="3">B31*C31</f>
        <v>0</v>
      </c>
      <c r="G31" s="325">
        <f>0.2*B31</f>
        <v>0</v>
      </c>
      <c r="H31" s="351" t="str">
        <f>'BASE PAX'!A6</f>
        <v>BREAKFAST</v>
      </c>
      <c r="I31" s="357">
        <f>B31</f>
        <v>0</v>
      </c>
    </row>
    <row r="32" spans="1:16" ht="20" customHeight="1">
      <c r="A32" s="155" t="str">
        <f>'BASE PAX'!A7</f>
        <v>LUNCH 1</v>
      </c>
      <c r="B32" s="91">
        <f>($B$5+($B$6*0.5))*'BASE PAX'!B7</f>
        <v>0</v>
      </c>
      <c r="C32" s="123">
        <f>'BASE PAX'!C7</f>
        <v>40000</v>
      </c>
      <c r="D32" s="125">
        <f>'BASE PAX'!D7</f>
        <v>48000</v>
      </c>
      <c r="E32" s="151">
        <f t="shared" ref="E32:E46" si="4">D32*B32</f>
        <v>0</v>
      </c>
      <c r="F32" s="124">
        <f t="shared" si="3"/>
        <v>0</v>
      </c>
      <c r="G32" s="146">
        <f t="shared" ref="G32:G46" si="5">E32-F32</f>
        <v>0</v>
      </c>
      <c r="H32" s="292"/>
      <c r="I32" s="295"/>
    </row>
    <row r="33" spans="1:11" ht="20" customHeight="1">
      <c r="A33" s="155" t="str">
        <f>'BASE PAX'!A8</f>
        <v>LUNCH 2</v>
      </c>
      <c r="B33" s="91">
        <f>($B$5+($B$6*0.5))*'BASE PAX'!B8</f>
        <v>0</v>
      </c>
      <c r="C33" s="123">
        <f>'BASE PAX'!C8</f>
        <v>40000</v>
      </c>
      <c r="D33" s="125">
        <f>'BASE PAX'!D8</f>
        <v>48000</v>
      </c>
      <c r="E33" s="151">
        <f t="shared" si="4"/>
        <v>0</v>
      </c>
      <c r="F33" s="124">
        <f t="shared" si="3"/>
        <v>0</v>
      </c>
      <c r="G33" s="146">
        <f t="shared" si="5"/>
        <v>0</v>
      </c>
      <c r="H33" s="292"/>
      <c r="I33" s="295"/>
    </row>
    <row r="34" spans="1:11" ht="20" customHeight="1">
      <c r="A34" s="155" t="str">
        <f>'BASE PAX'!A9</f>
        <v>LUNCH 3</v>
      </c>
      <c r="B34" s="91">
        <f>($B$5+($B$6*0.5))*'BASE PAX'!B9</f>
        <v>0</v>
      </c>
      <c r="C34" s="123">
        <f>'BASE PAX'!C9</f>
        <v>40000</v>
      </c>
      <c r="D34" s="125">
        <f>'BASE PAX'!D9</f>
        <v>48000</v>
      </c>
      <c r="E34" s="151">
        <f t="shared" si="4"/>
        <v>0</v>
      </c>
      <c r="F34" s="124">
        <f t="shared" si="3"/>
        <v>0</v>
      </c>
      <c r="G34" s="146">
        <f t="shared" si="5"/>
        <v>0</v>
      </c>
      <c r="H34" s="292"/>
      <c r="I34" s="295"/>
    </row>
    <row r="35" spans="1:11" ht="20" customHeight="1">
      <c r="A35" s="155" t="str">
        <f>'BASE PAX'!A10</f>
        <v>LUNCH 4</v>
      </c>
      <c r="B35" s="91">
        <f>($B$5+($B$6*0.5))*'BASE PAX'!B10</f>
        <v>0</v>
      </c>
      <c r="C35" s="123">
        <f>'BASE PAX'!C10</f>
        <v>45000</v>
      </c>
      <c r="D35" s="125">
        <f>'BASE PAX'!D10</f>
        <v>54000</v>
      </c>
      <c r="E35" s="151">
        <f t="shared" si="4"/>
        <v>0</v>
      </c>
      <c r="F35" s="124">
        <f t="shared" si="3"/>
        <v>0</v>
      </c>
      <c r="G35" s="146">
        <f t="shared" si="5"/>
        <v>0</v>
      </c>
      <c r="H35" s="292"/>
      <c r="I35" s="295"/>
    </row>
    <row r="36" spans="1:11" ht="20" customHeight="1">
      <c r="A36" s="155" t="str">
        <f>'BASE PAX'!A11</f>
        <v>LUNCH 5</v>
      </c>
      <c r="B36" s="91">
        <f>($B$5+($B$6*0.6))*'BASE PAX'!B11</f>
        <v>0</v>
      </c>
      <c r="C36" s="123">
        <f>'BASE PAX'!C11</f>
        <v>50000</v>
      </c>
      <c r="D36" s="125">
        <f>'BASE PAX'!D11</f>
        <v>60000</v>
      </c>
      <c r="E36" s="151">
        <f t="shared" si="4"/>
        <v>0</v>
      </c>
      <c r="F36" s="124">
        <f t="shared" si="3"/>
        <v>0</v>
      </c>
      <c r="G36" s="146">
        <f t="shared" si="5"/>
        <v>0</v>
      </c>
      <c r="H36" s="292"/>
      <c r="I36" s="295"/>
    </row>
    <row r="37" spans="1:11" ht="20" customHeight="1">
      <c r="A37" s="155" t="str">
        <f>'BASE PAX'!A12</f>
        <v>LUNCH 6</v>
      </c>
      <c r="B37" s="91">
        <f>($B$5+($B$6*0.5))*'BASE PAX'!B12</f>
        <v>0</v>
      </c>
      <c r="C37" s="123">
        <f>'BASE PAX'!C12</f>
        <v>0</v>
      </c>
      <c r="D37" s="125">
        <f>'BASE PAX'!D12</f>
        <v>0</v>
      </c>
      <c r="E37" s="151">
        <f t="shared" si="4"/>
        <v>0</v>
      </c>
      <c r="F37" s="124">
        <f t="shared" si="3"/>
        <v>0</v>
      </c>
      <c r="G37" s="146">
        <f t="shared" si="5"/>
        <v>0</v>
      </c>
      <c r="H37" s="292"/>
      <c r="I37" s="295"/>
    </row>
    <row r="38" spans="1:11" ht="20" customHeight="1">
      <c r="A38" s="155" t="str">
        <f>'BASE PAX'!A13</f>
        <v>LUNCH 7</v>
      </c>
      <c r="B38" s="91">
        <f>($B$5+($B$6*0.5))*'BASE PAX'!B13</f>
        <v>0</v>
      </c>
      <c r="C38" s="123">
        <f>'BASE PAX'!C13</f>
        <v>5000</v>
      </c>
      <c r="D38" s="125">
        <f>'BASE PAX'!D13</f>
        <v>6000</v>
      </c>
      <c r="E38" s="151">
        <f t="shared" si="4"/>
        <v>0</v>
      </c>
      <c r="F38" s="124">
        <f t="shared" si="3"/>
        <v>0</v>
      </c>
      <c r="G38" s="146">
        <f t="shared" si="5"/>
        <v>0</v>
      </c>
      <c r="H38" s="292"/>
      <c r="I38" s="295"/>
    </row>
    <row r="39" spans="1:11" ht="20" customHeight="1">
      <c r="A39" s="156" t="str">
        <f>'BASE PAX'!A14</f>
        <v>SNACKS</v>
      </c>
      <c r="B39" s="92">
        <f>($B$5+$B$6)*'BASE PAX'!B14</f>
        <v>0</v>
      </c>
      <c r="C39" s="125">
        <f>'BASE PAX'!C14</f>
        <v>8000</v>
      </c>
      <c r="D39" s="145">
        <f>'BASE PAX'!D14</f>
        <v>9600</v>
      </c>
      <c r="E39" s="150">
        <f t="shared" si="4"/>
        <v>0</v>
      </c>
      <c r="F39" s="122">
        <f t="shared" si="3"/>
        <v>0</v>
      </c>
      <c r="G39" s="146">
        <f t="shared" si="5"/>
        <v>0</v>
      </c>
      <c r="H39" s="292"/>
      <c r="I39" s="295"/>
    </row>
    <row r="40" spans="1:11" ht="20" customHeight="1">
      <c r="A40" s="155" t="str">
        <f>'BASE PAX'!A15</f>
        <v>DINNER 1</v>
      </c>
      <c r="B40" s="91">
        <f>($B$5+($B$6*0.6))*'BASE PAX'!B15</f>
        <v>0</v>
      </c>
      <c r="C40" s="123">
        <f>'BASE PAX'!C15</f>
        <v>70000</v>
      </c>
      <c r="D40" s="125">
        <f>'BASE PAX'!D15</f>
        <v>84000</v>
      </c>
      <c r="E40" s="151">
        <f t="shared" si="4"/>
        <v>0</v>
      </c>
      <c r="F40" s="124">
        <f t="shared" si="3"/>
        <v>0</v>
      </c>
      <c r="G40" s="146">
        <f t="shared" si="5"/>
        <v>0</v>
      </c>
      <c r="H40" s="292"/>
      <c r="I40" s="295"/>
    </row>
    <row r="41" spans="1:11" ht="20" customHeight="1">
      <c r="A41" s="155" t="str">
        <f>'BASE PAX'!A16</f>
        <v>DINNER 2</v>
      </c>
      <c r="B41" s="91">
        <f>($B$5+($B$6*0.6))*'BASE PAX'!B16</f>
        <v>0</v>
      </c>
      <c r="C41" s="123">
        <f>'BASE PAX'!C16</f>
        <v>25000</v>
      </c>
      <c r="D41" s="125">
        <f>'BASE PAX'!D16</f>
        <v>30000</v>
      </c>
      <c r="E41" s="151">
        <f t="shared" si="4"/>
        <v>0</v>
      </c>
      <c r="F41" s="124">
        <f t="shared" si="3"/>
        <v>0</v>
      </c>
      <c r="G41" s="146">
        <f t="shared" si="5"/>
        <v>0</v>
      </c>
      <c r="H41" s="292"/>
      <c r="I41" s="295"/>
    </row>
    <row r="42" spans="1:11" ht="20" customHeight="1">
      <c r="A42" s="155" t="str">
        <f>'BASE PAX'!A17</f>
        <v>DINNER 3</v>
      </c>
      <c r="B42" s="91">
        <f>($B$5+($B$6*0.6))*'BASE PAX'!B17</f>
        <v>0</v>
      </c>
      <c r="C42" s="123">
        <f>'BASE PAX'!C17</f>
        <v>50000</v>
      </c>
      <c r="D42" s="125">
        <f>'BASE PAX'!D17</f>
        <v>60000</v>
      </c>
      <c r="E42" s="151">
        <f t="shared" si="4"/>
        <v>0</v>
      </c>
      <c r="F42" s="124">
        <f t="shared" si="3"/>
        <v>0</v>
      </c>
      <c r="G42" s="146">
        <f t="shared" si="5"/>
        <v>0</v>
      </c>
      <c r="H42" s="292"/>
      <c r="I42" s="295"/>
    </row>
    <row r="43" spans="1:11" ht="20" customHeight="1">
      <c r="A43" s="155" t="str">
        <f>'BASE PAX'!A18</f>
        <v>DINNER 4</v>
      </c>
      <c r="B43" s="91">
        <f>($B$5+($B$6*0.5))*'BASE PAX'!B18</f>
        <v>0</v>
      </c>
      <c r="C43" s="123">
        <f>'BASE PAX'!C18</f>
        <v>65000</v>
      </c>
      <c r="D43" s="125">
        <f>'BASE PAX'!D18</f>
        <v>78000</v>
      </c>
      <c r="E43" s="151">
        <f t="shared" si="4"/>
        <v>0</v>
      </c>
      <c r="F43" s="124">
        <f t="shared" si="3"/>
        <v>0</v>
      </c>
      <c r="G43" s="146">
        <f t="shared" si="5"/>
        <v>0</v>
      </c>
      <c r="H43" s="292"/>
      <c r="I43" s="295"/>
    </row>
    <row r="44" spans="1:11" ht="20" customHeight="1">
      <c r="A44" s="155" t="str">
        <f>'BASE PAX'!A19</f>
        <v>DINNER 5</v>
      </c>
      <c r="B44" s="91">
        <f>($B$5+($B$6*0.6))*'BASE PAX'!B19</f>
        <v>0</v>
      </c>
      <c r="C44" s="123">
        <f>'BASE PAX'!C19</f>
        <v>75000</v>
      </c>
      <c r="D44" s="125">
        <f>'BASE PAX'!D19</f>
        <v>90000</v>
      </c>
      <c r="E44" s="151">
        <f t="shared" si="4"/>
        <v>0</v>
      </c>
      <c r="F44" s="124">
        <f t="shared" si="3"/>
        <v>0</v>
      </c>
      <c r="G44" s="146">
        <f t="shared" si="5"/>
        <v>0</v>
      </c>
      <c r="H44" s="292"/>
      <c r="I44" s="295"/>
    </row>
    <row r="45" spans="1:11" ht="20" customHeight="1">
      <c r="A45" s="155" t="str">
        <f>'BASE PAX'!A20</f>
        <v>DINNER 6</v>
      </c>
      <c r="B45" s="91">
        <f>($B$5+($B$6*0.5))*'BASE PAX'!B20</f>
        <v>0</v>
      </c>
      <c r="C45" s="123">
        <f>'BASE PAX'!C20</f>
        <v>0</v>
      </c>
      <c r="D45" s="125">
        <f>'BASE PAX'!D20</f>
        <v>0</v>
      </c>
      <c r="E45" s="151">
        <f t="shared" si="4"/>
        <v>0</v>
      </c>
      <c r="F45" s="124">
        <f t="shared" si="3"/>
        <v>0</v>
      </c>
      <c r="G45" s="146">
        <f t="shared" si="5"/>
        <v>0</v>
      </c>
      <c r="H45" s="292"/>
      <c r="I45" s="295"/>
    </row>
    <row r="46" spans="1:11" ht="20" customHeight="1" thickBot="1">
      <c r="A46" s="155" t="str">
        <f>'BASE PAX'!A21</f>
        <v>DINNER 7</v>
      </c>
      <c r="B46" s="91">
        <f>($B$5+($B$6*0.6))*'BASE PAX'!B21</f>
        <v>0</v>
      </c>
      <c r="C46" s="123">
        <f>'BASE PAX'!C21</f>
        <v>75000</v>
      </c>
      <c r="D46" s="125">
        <f>'BASE PAX'!D21</f>
        <v>90000</v>
      </c>
      <c r="E46" s="151">
        <f t="shared" si="4"/>
        <v>0</v>
      </c>
      <c r="F46" s="124">
        <f t="shared" si="3"/>
        <v>0</v>
      </c>
      <c r="G46" s="146">
        <f t="shared" si="5"/>
        <v>0</v>
      </c>
      <c r="H46" s="292"/>
      <c r="I46" s="295"/>
    </row>
    <row r="47" spans="1:11" ht="20" customHeight="1">
      <c r="A47" s="155" t="str">
        <f>'BASE PAX'!A22</f>
        <v>QUANT. TOTAL | PADRAO ALMOÇO</v>
      </c>
      <c r="B47" s="91">
        <f>'BASE PAX'!B22</f>
        <v>0</v>
      </c>
      <c r="C47" s="123"/>
      <c r="D47" s="125"/>
      <c r="E47" s="151"/>
      <c r="F47" s="124"/>
      <c r="G47" s="325">
        <f>0.2*I47</f>
        <v>0</v>
      </c>
      <c r="H47" s="337" t="str">
        <f>'BASE PAX'!A22</f>
        <v>QUANT. TOTAL | PADRAO ALMOÇO</v>
      </c>
      <c r="I47" s="350">
        <f>(B5*B47*'BASE PAX'!G22)+(B6*B47*'BASE PAX'!H22)</f>
        <v>0</v>
      </c>
      <c r="J47" s="328"/>
      <c r="K47" s="329"/>
    </row>
    <row r="48" spans="1:11" ht="20" customHeight="1" thickBot="1">
      <c r="A48" s="163" t="str">
        <f>'BASE PAX'!A23</f>
        <v>QUANT. TOTAL | PADRAO JANTAR</v>
      </c>
      <c r="B48" s="171">
        <f>'BASE PAX'!B23</f>
        <v>0</v>
      </c>
      <c r="C48" s="165"/>
      <c r="D48" s="166"/>
      <c r="E48" s="167"/>
      <c r="F48" s="168"/>
      <c r="G48" s="326">
        <f>0.2*I48</f>
        <v>0</v>
      </c>
      <c r="H48" s="346" t="str">
        <f>'BASE PAX'!A23</f>
        <v>QUANT. TOTAL | PADRAO JANTAR</v>
      </c>
      <c r="I48" s="336">
        <f>(B5*B48*'BASE PAX'!G23)+(B6*B48*'BASE PAX'!H23)</f>
        <v>0</v>
      </c>
      <c r="J48" s="330"/>
      <c r="K48" s="331"/>
    </row>
    <row r="49" spans="1:16" ht="29" customHeight="1" thickBot="1">
      <c r="A49" s="161" t="s">
        <v>72</v>
      </c>
      <c r="B49" s="157"/>
      <c r="C49" s="158"/>
      <c r="D49" s="152"/>
      <c r="E49" s="300">
        <f>SUM(E31:E48)</f>
        <v>0</v>
      </c>
      <c r="F49" s="104">
        <f>SUM(F31:F48)</f>
        <v>0</v>
      </c>
      <c r="G49" s="327">
        <f>SUM(G31:G48)</f>
        <v>0</v>
      </c>
      <c r="H49" s="339" t="s">
        <v>55</v>
      </c>
      <c r="I49" s="343">
        <f>I31+I47+I48</f>
        <v>0</v>
      </c>
      <c r="J49" s="361">
        <f>I49+E49</f>
        <v>0</v>
      </c>
      <c r="K49" s="345" t="s">
        <v>160</v>
      </c>
    </row>
    <row r="50" spans="1:16" s="8" customFormat="1" ht="11" customHeight="1" thickBot="1">
      <c r="A50" s="16"/>
      <c r="B50" s="56"/>
      <c r="C50" s="105"/>
      <c r="D50" s="102"/>
      <c r="E50" s="102"/>
      <c r="F50" s="7"/>
      <c r="G50" s="17"/>
      <c r="H50" s="7"/>
      <c r="I50" s="295"/>
      <c r="J50" s="7"/>
      <c r="K50" s="7"/>
      <c r="L50" s="7"/>
      <c r="M50" s="7"/>
      <c r="N50" s="7"/>
      <c r="O50" s="7"/>
      <c r="P50" s="7"/>
    </row>
    <row r="51" spans="1:16" ht="34" customHeight="1" thickBot="1">
      <c r="A51" s="21" t="s">
        <v>161</v>
      </c>
      <c r="B51" s="207" t="s">
        <v>52</v>
      </c>
      <c r="C51" s="208" t="s">
        <v>53</v>
      </c>
      <c r="D51" s="209" t="s">
        <v>54</v>
      </c>
      <c r="E51" s="172" t="s">
        <v>55</v>
      </c>
      <c r="F51" s="142" t="s">
        <v>158</v>
      </c>
      <c r="G51" s="182" t="s">
        <v>159</v>
      </c>
    </row>
    <row r="52" spans="1:16" ht="20" customHeight="1">
      <c r="A52" s="76" t="str">
        <f>'BASE PAX'!A27</f>
        <v>SUCOS</v>
      </c>
      <c r="B52" s="205">
        <f>'BASE PAX'!B27</f>
        <v>0</v>
      </c>
      <c r="C52" s="193">
        <f>'BASE PAX'!C27</f>
        <v>0</v>
      </c>
      <c r="D52" s="206">
        <f t="shared" ref="D52:D58" si="6">(C52*0.2)+C52</f>
        <v>0</v>
      </c>
      <c r="E52" s="174">
        <f t="shared" ref="E52:E58" si="7">D52*B52</f>
        <v>0</v>
      </c>
      <c r="F52" s="173">
        <f t="shared" ref="F52:F58" si="8">B52*C52</f>
        <v>0</v>
      </c>
      <c r="G52" s="183">
        <f t="shared" ref="G52:G59" si="9">E52-F52</f>
        <v>0</v>
      </c>
    </row>
    <row r="53" spans="1:16" ht="20" customHeight="1">
      <c r="A53" s="76" t="str">
        <f>'BASE PAX'!A28</f>
        <v>SUCOS</v>
      </c>
      <c r="B53" s="205">
        <f>'BASE PAX'!B28</f>
        <v>0</v>
      </c>
      <c r="C53" s="175">
        <f>'BASE PAX'!C28</f>
        <v>0</v>
      </c>
      <c r="D53" s="176">
        <f t="shared" si="6"/>
        <v>0</v>
      </c>
      <c r="E53" s="174">
        <f t="shared" si="7"/>
        <v>0</v>
      </c>
      <c r="F53" s="173">
        <f t="shared" si="8"/>
        <v>0</v>
      </c>
      <c r="G53" s="183">
        <f t="shared" si="9"/>
        <v>0</v>
      </c>
    </row>
    <row r="54" spans="1:16" ht="20" customHeight="1">
      <c r="A54" s="87" t="str">
        <f>'BASE PAX'!A29</f>
        <v>CERVEJAS</v>
      </c>
      <c r="B54" s="205">
        <f>'BASE PAX'!B29</f>
        <v>0</v>
      </c>
      <c r="C54" s="175">
        <f>'BASE PAX'!C29</f>
        <v>2000</v>
      </c>
      <c r="D54" s="176">
        <f t="shared" si="6"/>
        <v>2400</v>
      </c>
      <c r="E54" s="174">
        <f t="shared" si="7"/>
        <v>0</v>
      </c>
      <c r="F54" s="173">
        <f t="shared" si="8"/>
        <v>0</v>
      </c>
      <c r="G54" s="183">
        <f t="shared" si="9"/>
        <v>0</v>
      </c>
    </row>
    <row r="55" spans="1:16" ht="20" customHeight="1">
      <c r="A55" s="87" t="str">
        <f>'BASE PAX'!A30</f>
        <v>VINHOS</v>
      </c>
      <c r="B55" s="205">
        <f>'BASE PAX'!B30</f>
        <v>0</v>
      </c>
      <c r="C55" s="175">
        <f>'BASE PAX'!C30</f>
        <v>8000</v>
      </c>
      <c r="D55" s="176">
        <f t="shared" si="6"/>
        <v>9600</v>
      </c>
      <c r="E55" s="174">
        <f t="shared" si="7"/>
        <v>0</v>
      </c>
      <c r="F55" s="173">
        <f t="shared" si="8"/>
        <v>0</v>
      </c>
      <c r="G55" s="183">
        <f t="shared" si="9"/>
        <v>0</v>
      </c>
    </row>
    <row r="56" spans="1:16" ht="20" customHeight="1">
      <c r="A56" s="87" t="str">
        <f>'BASE PAX'!A31</f>
        <v>DRINKS</v>
      </c>
      <c r="B56" s="205">
        <f>'BASE PAX'!B31</f>
        <v>0</v>
      </c>
      <c r="C56" s="175">
        <f>'BASE PAX'!C31</f>
        <v>15000</v>
      </c>
      <c r="D56" s="176">
        <f t="shared" si="6"/>
        <v>18000</v>
      </c>
      <c r="E56" s="174">
        <f t="shared" si="7"/>
        <v>0</v>
      </c>
      <c r="F56" s="173">
        <f t="shared" si="8"/>
        <v>0</v>
      </c>
      <c r="G56" s="183">
        <f t="shared" si="9"/>
        <v>0</v>
      </c>
    </row>
    <row r="57" spans="1:16" ht="20" customHeight="1">
      <c r="A57" s="87" t="str">
        <f>'BASE PAX'!A32</f>
        <v>COOLER</v>
      </c>
      <c r="B57" s="205">
        <f>'BASE PAX'!B32</f>
        <v>0</v>
      </c>
      <c r="C57" s="175">
        <f>'BASE PAX'!C32</f>
        <v>5000</v>
      </c>
      <c r="D57" s="176">
        <f t="shared" si="6"/>
        <v>6000</v>
      </c>
      <c r="E57" s="174">
        <f t="shared" si="7"/>
        <v>0</v>
      </c>
      <c r="F57" s="173">
        <f t="shared" si="8"/>
        <v>0</v>
      </c>
      <c r="G57" s="183">
        <f t="shared" si="9"/>
        <v>0</v>
      </c>
    </row>
    <row r="58" spans="1:16" ht="20" customHeight="1" thickBot="1">
      <c r="A58" s="180">
        <f>'BASE PAX'!A33</f>
        <v>0</v>
      </c>
      <c r="B58" s="205">
        <f>'BASE PAX'!B33</f>
        <v>0</v>
      </c>
      <c r="C58" s="178">
        <f>'BASE PAX'!C33</f>
        <v>0</v>
      </c>
      <c r="D58" s="179">
        <f t="shared" si="6"/>
        <v>0</v>
      </c>
      <c r="E58" s="184">
        <f t="shared" si="7"/>
        <v>0</v>
      </c>
      <c r="F58" s="185">
        <f t="shared" si="8"/>
        <v>0</v>
      </c>
      <c r="G58" s="186">
        <f t="shared" si="9"/>
        <v>0</v>
      </c>
    </row>
    <row r="59" spans="1:16" ht="48" customHeight="1" thickBot="1">
      <c r="A59" s="21" t="s">
        <v>79</v>
      </c>
      <c r="B59" s="77"/>
      <c r="C59" s="126"/>
      <c r="D59" s="181"/>
      <c r="E59" s="127">
        <f>SUM(E52:E58)</f>
        <v>0</v>
      </c>
      <c r="F59" s="188">
        <f>SUM(F52:F58)</f>
        <v>0</v>
      </c>
      <c r="G59" s="189">
        <f t="shared" si="9"/>
        <v>0</v>
      </c>
    </row>
    <row r="60" spans="1:16" s="8" customFormat="1" ht="11" customHeight="1" thickBot="1">
      <c r="A60" s="16"/>
      <c r="B60" s="56"/>
      <c r="C60" s="105"/>
      <c r="D60" s="102"/>
      <c r="E60" s="102"/>
      <c r="F60" s="7"/>
      <c r="G60" s="17"/>
      <c r="H60" s="7"/>
      <c r="I60" s="7"/>
      <c r="J60" s="7"/>
      <c r="K60" s="7"/>
      <c r="L60" s="7"/>
      <c r="M60" s="7"/>
      <c r="N60" s="7"/>
      <c r="O60" s="7"/>
      <c r="P60" s="7"/>
    </row>
    <row r="61" spans="1:16" s="10" customFormat="1" ht="42" customHeight="1" thickBot="1">
      <c r="A61" s="226" t="s">
        <v>18</v>
      </c>
      <c r="B61" s="227" t="s">
        <v>52</v>
      </c>
      <c r="C61" s="228" t="s">
        <v>53</v>
      </c>
      <c r="D61" s="229" t="s">
        <v>54</v>
      </c>
      <c r="E61" s="229" t="s">
        <v>55</v>
      </c>
      <c r="F61" s="228" t="s">
        <v>158</v>
      </c>
      <c r="G61" s="230" t="s">
        <v>159</v>
      </c>
    </row>
    <row r="62" spans="1:16" ht="20" customHeight="1">
      <c r="A62" s="223" t="str">
        <f>'BASE PAX'!A37</f>
        <v>HOTTUBE</v>
      </c>
      <c r="B62" s="224">
        <f>'BASE PAX'!B37</f>
        <v>0</v>
      </c>
      <c r="C62" s="195">
        <f>'BASE PAX'!C37</f>
        <v>12000</v>
      </c>
      <c r="D62" s="225">
        <f t="shared" ref="D62:D71" si="10">C62*0.2+C62</f>
        <v>14400</v>
      </c>
      <c r="E62" s="225">
        <f t="shared" ref="E62:E71" si="11">D62*B62</f>
        <v>0</v>
      </c>
      <c r="F62" s="195">
        <f t="shared" ref="F62:F72" si="12">B62*C62</f>
        <v>0</v>
      </c>
      <c r="G62" s="194">
        <f t="shared" ref="G62:G72" si="13">E62-F62</f>
        <v>0</v>
      </c>
    </row>
    <row r="63" spans="1:16" ht="20" customHeight="1">
      <c r="A63" s="219" t="str">
        <f>'BASE PAX'!A38</f>
        <v>TREKKING 1/2 DAY</v>
      </c>
      <c r="B63" s="224">
        <f>'BASE PAX'!B38</f>
        <v>0</v>
      </c>
      <c r="C63" s="196">
        <f>'BASE PAX'!C38</f>
        <v>60000</v>
      </c>
      <c r="D63" s="220">
        <f t="shared" si="10"/>
        <v>72000</v>
      </c>
      <c r="E63" s="220">
        <f t="shared" si="11"/>
        <v>0</v>
      </c>
      <c r="F63" s="196">
        <f t="shared" si="12"/>
        <v>0</v>
      </c>
      <c r="G63" s="190">
        <f t="shared" si="13"/>
        <v>0</v>
      </c>
    </row>
    <row r="64" spans="1:16" ht="20" customHeight="1">
      <c r="A64" s="219" t="str">
        <f>'BASE PAX'!A39</f>
        <v>TREKKING FUK DAY</v>
      </c>
      <c r="B64" s="224">
        <f>'BASE PAX'!B39</f>
        <v>0</v>
      </c>
      <c r="C64" s="196">
        <f>'BASE PAX'!C39</f>
        <v>90000</v>
      </c>
      <c r="D64" s="220">
        <f t="shared" si="10"/>
        <v>108000</v>
      </c>
      <c r="E64" s="220">
        <f t="shared" si="11"/>
        <v>0</v>
      </c>
      <c r="F64" s="196">
        <f t="shared" si="12"/>
        <v>0</v>
      </c>
      <c r="G64" s="190">
        <f t="shared" si="13"/>
        <v>0</v>
      </c>
    </row>
    <row r="65" spans="1:16" ht="20" customHeight="1">
      <c r="A65" s="219" t="str">
        <f>'BASE PAX'!A40</f>
        <v>FLOTADA FAMILIAR</v>
      </c>
      <c r="B65" s="224">
        <f>'BASE PAX'!B40</f>
        <v>0</v>
      </c>
      <c r="C65" s="196">
        <f>'BASE PAX'!C40</f>
        <v>60000</v>
      </c>
      <c r="D65" s="220">
        <f t="shared" si="10"/>
        <v>72000</v>
      </c>
      <c r="E65" s="220">
        <f t="shared" si="11"/>
        <v>0</v>
      </c>
      <c r="F65" s="196">
        <f t="shared" si="12"/>
        <v>0</v>
      </c>
      <c r="G65" s="190">
        <f t="shared" si="13"/>
        <v>0</v>
      </c>
    </row>
    <row r="66" spans="1:16" ht="20" customHeight="1">
      <c r="A66" s="219" t="str">
        <f>'BASE PAX'!A41</f>
        <v>RAFTING 1/2 DAY</v>
      </c>
      <c r="B66" s="224">
        <f>'BASE PAX'!B41</f>
        <v>0</v>
      </c>
      <c r="C66" s="196">
        <f>'BASE PAX'!C41</f>
        <v>75000</v>
      </c>
      <c r="D66" s="220">
        <f t="shared" si="10"/>
        <v>90000</v>
      </c>
      <c r="E66" s="220">
        <f t="shared" si="11"/>
        <v>0</v>
      </c>
      <c r="F66" s="196">
        <f t="shared" si="12"/>
        <v>0</v>
      </c>
      <c r="G66" s="190">
        <f t="shared" si="13"/>
        <v>0</v>
      </c>
    </row>
    <row r="67" spans="1:16" ht="20" customHeight="1">
      <c r="A67" s="219" t="str">
        <f>'BASE PAX'!A42</f>
        <v>RAFTING FULL DAY</v>
      </c>
      <c r="B67" s="224">
        <f>'BASE PAX'!B42</f>
        <v>0</v>
      </c>
      <c r="C67" s="196">
        <f>'BASE PAX'!C42</f>
        <v>110000</v>
      </c>
      <c r="D67" s="220">
        <f t="shared" si="10"/>
        <v>132000</v>
      </c>
      <c r="E67" s="220">
        <f t="shared" si="11"/>
        <v>0</v>
      </c>
      <c r="F67" s="196">
        <f t="shared" si="12"/>
        <v>0</v>
      </c>
      <c r="G67" s="190">
        <f t="shared" si="13"/>
        <v>0</v>
      </c>
    </row>
    <row r="68" spans="1:16" ht="20" customHeight="1">
      <c r="A68" s="219" t="str">
        <f>'BASE PAX'!A43</f>
        <v>CABALGADA 1/2 DAy</v>
      </c>
      <c r="B68" s="224">
        <f>'BASE PAX'!B43</f>
        <v>0</v>
      </c>
      <c r="C68" s="196">
        <f>'BASE PAX'!C43</f>
        <v>90000</v>
      </c>
      <c r="D68" s="220">
        <f t="shared" si="10"/>
        <v>108000</v>
      </c>
      <c r="E68" s="220">
        <f t="shared" si="11"/>
        <v>0</v>
      </c>
      <c r="F68" s="196">
        <f t="shared" si="12"/>
        <v>0</v>
      </c>
      <c r="G68" s="190">
        <f t="shared" si="13"/>
        <v>0</v>
      </c>
    </row>
    <row r="69" spans="1:16" ht="20" customHeight="1">
      <c r="A69" s="219" t="str">
        <f>'BASE PAX'!A44</f>
        <v>CABALGADA FULL DAY</v>
      </c>
      <c r="B69" s="224">
        <f>'BASE PAX'!B44</f>
        <v>0</v>
      </c>
      <c r="C69" s="196">
        <f>'BASE PAX'!C44</f>
        <v>140000</v>
      </c>
      <c r="D69" s="220">
        <f t="shared" si="10"/>
        <v>168000</v>
      </c>
      <c r="E69" s="220">
        <f t="shared" si="11"/>
        <v>0</v>
      </c>
      <c r="F69" s="196">
        <f t="shared" si="12"/>
        <v>0</v>
      </c>
      <c r="G69" s="190">
        <f t="shared" si="13"/>
        <v>0</v>
      </c>
    </row>
    <row r="70" spans="1:16" ht="20" customHeight="1">
      <c r="A70" s="219" t="str">
        <f>'BASE PAX'!A45</f>
        <v>LANCHA YELCHO</v>
      </c>
      <c r="B70" s="224">
        <f>'BASE PAX'!B45</f>
        <v>0</v>
      </c>
      <c r="C70" s="196">
        <f>'BASE PAX'!C45</f>
        <v>120000</v>
      </c>
      <c r="D70" s="220">
        <f t="shared" si="10"/>
        <v>144000</v>
      </c>
      <c r="E70" s="220">
        <f t="shared" si="11"/>
        <v>0</v>
      </c>
      <c r="F70" s="196">
        <f t="shared" si="12"/>
        <v>0</v>
      </c>
      <c r="G70" s="190">
        <f t="shared" si="13"/>
        <v>0</v>
      </c>
    </row>
    <row r="71" spans="1:16" ht="20" customHeight="1" thickBot="1">
      <c r="A71" s="221" t="str">
        <f>'BASE PAX'!A46</f>
        <v>RECREACAO INFANTIL 3HS</v>
      </c>
      <c r="B71" s="224">
        <f>'BASE PAX'!B46</f>
        <v>0</v>
      </c>
      <c r="C71" s="197">
        <f>'BASE PAX'!C46</f>
        <v>30000</v>
      </c>
      <c r="D71" s="220">
        <f t="shared" si="10"/>
        <v>36000</v>
      </c>
      <c r="E71" s="222">
        <f t="shared" si="11"/>
        <v>0</v>
      </c>
      <c r="F71" s="197">
        <f t="shared" si="12"/>
        <v>0</v>
      </c>
      <c r="G71" s="192">
        <f t="shared" si="13"/>
        <v>0</v>
      </c>
    </row>
    <row r="72" spans="1:16" ht="48" customHeight="1" thickBot="1">
      <c r="A72" s="22" t="s">
        <v>84</v>
      </c>
      <c r="B72" s="79"/>
      <c r="C72" s="128"/>
      <c r="D72" s="128"/>
      <c r="E72" s="198">
        <f>SUM(E62:E71)</f>
        <v>0</v>
      </c>
      <c r="F72" s="204">
        <f t="shared" si="12"/>
        <v>0</v>
      </c>
      <c r="G72" s="203">
        <f t="shared" si="13"/>
        <v>0</v>
      </c>
    </row>
    <row r="73" spans="1:16" ht="37" customHeight="1" thickBot="1"/>
    <row r="74" spans="1:16" s="8" customFormat="1" ht="36" customHeight="1" thickBot="1">
      <c r="A74" s="23" t="s">
        <v>116</v>
      </c>
      <c r="B74" s="214" t="s">
        <v>52</v>
      </c>
      <c r="C74" s="215" t="s">
        <v>53</v>
      </c>
      <c r="D74" s="153" t="s">
        <v>54</v>
      </c>
      <c r="E74" s="153" t="s">
        <v>55</v>
      </c>
      <c r="F74" s="143" t="s">
        <v>162</v>
      </c>
      <c r="G74" s="147" t="s">
        <v>159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 ht="20" customHeight="1">
      <c r="A75" s="88" t="str">
        <f>'BASE PAX'!A50</f>
        <v>TRANSFER AEROPORTO CHEGADA</v>
      </c>
      <c r="B75" s="211">
        <f>'BASE PAX'!B50</f>
        <v>0</v>
      </c>
      <c r="C75" s="213">
        <v>50000</v>
      </c>
      <c r="D75" s="231">
        <f>C75*0.2+C75</f>
        <v>60000</v>
      </c>
      <c r="E75" s="231">
        <f>D75*B75</f>
        <v>0</v>
      </c>
      <c r="F75" s="210">
        <f>B75*C75</f>
        <v>0</v>
      </c>
      <c r="G75" s="199">
        <f t="shared" ref="G75:G80" si="14">E75-F75</f>
        <v>0</v>
      </c>
    </row>
    <row r="76" spans="1:16" ht="20" customHeight="1">
      <c r="A76" s="88" t="str">
        <f>'BASE PAX'!A51</f>
        <v>TRANSFER AEROPORTO PARTIDA</v>
      </c>
      <c r="B76" s="211">
        <f>'BASE PAX'!B51</f>
        <v>0</v>
      </c>
      <c r="C76" s="212">
        <f>'BASE PAX'!C51</f>
        <v>80000</v>
      </c>
      <c r="D76" s="232">
        <f>C76*0.2+C76</f>
        <v>96000</v>
      </c>
      <c r="E76" s="232">
        <f>D76*B76</f>
        <v>0</v>
      </c>
      <c r="F76" s="210">
        <f>B76*C76</f>
        <v>0</v>
      </c>
      <c r="G76" s="200">
        <f t="shared" si="14"/>
        <v>0</v>
      </c>
    </row>
    <row r="77" spans="1:16" ht="20" customHeight="1">
      <c r="A77" s="88" t="str">
        <f>'BASE PAX'!A52</f>
        <v>TRANSFERS INTERNO</v>
      </c>
      <c r="B77" s="211">
        <f>'BASE PAX'!B52</f>
        <v>0</v>
      </c>
      <c r="C77" s="212">
        <f>'BASE PAX'!C52</f>
        <v>18000</v>
      </c>
      <c r="D77" s="232">
        <f>C77*0.2+C77</f>
        <v>21600</v>
      </c>
      <c r="E77" s="232">
        <f>D77*B77</f>
        <v>0</v>
      </c>
      <c r="F77" s="210">
        <f>B77*C77</f>
        <v>0</v>
      </c>
      <c r="G77" s="200">
        <f t="shared" si="14"/>
        <v>0</v>
      </c>
    </row>
    <row r="78" spans="1:16" ht="20" customHeight="1">
      <c r="A78" s="88" t="str">
        <f>'BASE PAX'!A53</f>
        <v>EXTRAS 1</v>
      </c>
      <c r="B78" s="211">
        <f>'BASE PAX'!B53</f>
        <v>0</v>
      </c>
      <c r="C78" s="212">
        <f>'BASE PAX'!C53</f>
        <v>150000</v>
      </c>
      <c r="D78" s="232">
        <f>C78*0.2+C78</f>
        <v>180000</v>
      </c>
      <c r="E78" s="232">
        <f>D78*B78</f>
        <v>0</v>
      </c>
      <c r="F78" s="210">
        <f>B78*C78</f>
        <v>0</v>
      </c>
      <c r="G78" s="200">
        <f t="shared" si="14"/>
        <v>0</v>
      </c>
    </row>
    <row r="79" spans="1:16" ht="20" customHeight="1" thickBot="1">
      <c r="A79" s="218" t="str">
        <f>'BASE PAX'!A54</f>
        <v>EXTRAS 2</v>
      </c>
      <c r="B79" s="211">
        <f>'BASE PAX'!B54</f>
        <v>0</v>
      </c>
      <c r="C79" s="216">
        <f>'BASE PAX'!C54</f>
        <v>0</v>
      </c>
      <c r="D79" s="233">
        <f>C79*0.2+C79</f>
        <v>0</v>
      </c>
      <c r="E79" s="233">
        <f>D79*B79</f>
        <v>0</v>
      </c>
      <c r="F79" s="217">
        <f>B79*C79</f>
        <v>0</v>
      </c>
      <c r="G79" s="201">
        <f t="shared" si="14"/>
        <v>0</v>
      </c>
    </row>
    <row r="80" spans="1:16" ht="44" customHeight="1" thickBot="1">
      <c r="A80" s="23" t="s">
        <v>89</v>
      </c>
      <c r="B80" s="80"/>
      <c r="C80" s="130"/>
      <c r="D80" s="130"/>
      <c r="E80" s="131">
        <f>SUM(E75:E79)</f>
        <v>0</v>
      </c>
      <c r="F80" s="131">
        <f>SUM(F75:F79)</f>
        <v>0</v>
      </c>
      <c r="G80" s="203">
        <f t="shared" si="14"/>
        <v>0</v>
      </c>
    </row>
    <row r="81" spans="1:16" s="8" customFormat="1" ht="11" customHeight="1" thickBot="1">
      <c r="A81" s="16"/>
      <c r="B81" s="56"/>
      <c r="C81" s="105"/>
      <c r="D81" s="102"/>
      <c r="E81" s="102"/>
      <c r="F81" s="7"/>
      <c r="G81" s="17"/>
      <c r="H81" s="7"/>
      <c r="I81" s="7"/>
      <c r="J81" s="7"/>
      <c r="K81" s="7"/>
      <c r="L81" s="7"/>
      <c r="M81" s="7"/>
      <c r="N81" s="7"/>
      <c r="O81" s="7"/>
      <c r="P81" s="7"/>
    </row>
    <row r="82" spans="1:16" s="9" customFormat="1" ht="42" customHeight="1" thickBot="1">
      <c r="A82" s="246" t="s">
        <v>117</v>
      </c>
      <c r="B82" s="247" t="s">
        <v>52</v>
      </c>
      <c r="C82" s="248" t="s">
        <v>53</v>
      </c>
      <c r="D82" s="249" t="s">
        <v>54</v>
      </c>
      <c r="E82" s="249" t="s">
        <v>55</v>
      </c>
      <c r="F82" s="248" t="s">
        <v>162</v>
      </c>
      <c r="G82" s="147" t="s">
        <v>159</v>
      </c>
    </row>
    <row r="83" spans="1:16" ht="20" customHeight="1">
      <c r="A83" s="81" t="str">
        <f>'BASE PAX'!A58</f>
        <v>WS INSTRUCTOR</v>
      </c>
      <c r="B83" s="238">
        <f>'BASE PAX'!B58</f>
        <v>0</v>
      </c>
      <c r="C83" s="239">
        <f>'BASE PAX'!C58</f>
        <v>3415000</v>
      </c>
      <c r="D83" s="240">
        <f>(C83*0.15)+C83</f>
        <v>3927250</v>
      </c>
      <c r="E83" s="240">
        <f>D83*B83</f>
        <v>0</v>
      </c>
      <c r="F83" s="234">
        <f>B83*C83</f>
        <v>0</v>
      </c>
      <c r="G83" s="199">
        <f>E83-F83</f>
        <v>0</v>
      </c>
    </row>
    <row r="84" spans="1:16" ht="20" customHeight="1">
      <c r="A84" s="81" t="str">
        <f>'BASE PAX'!A59</f>
        <v>PRODUCER FEE</v>
      </c>
      <c r="B84" s="235">
        <f>'BASE PAX'!B59</f>
        <v>0</v>
      </c>
      <c r="C84" s="236">
        <f>'BASE PAX'!C59</f>
        <v>180000</v>
      </c>
      <c r="D84" s="237">
        <f>(C84*0.15)+C84</f>
        <v>207000</v>
      </c>
      <c r="E84" s="237">
        <f>D84*B84</f>
        <v>0</v>
      </c>
      <c r="F84" s="234">
        <f>B84*C84</f>
        <v>0</v>
      </c>
      <c r="G84" s="200">
        <f>E84-F84</f>
        <v>0</v>
      </c>
    </row>
    <row r="85" spans="1:16" ht="20" customHeight="1" thickBot="1">
      <c r="A85" s="241">
        <f>'BASE PAX'!A60</f>
        <v>0</v>
      </c>
      <c r="B85" s="242">
        <f>'BASE PAX'!B60</f>
        <v>0</v>
      </c>
      <c r="C85" s="243">
        <f>'BASE PAX'!C60</f>
        <v>20000</v>
      </c>
      <c r="D85" s="244">
        <f>(C85*0.15)+C85</f>
        <v>23000</v>
      </c>
      <c r="E85" s="244">
        <f>D85*B85</f>
        <v>0</v>
      </c>
      <c r="F85" s="245">
        <f>B85*C85</f>
        <v>0</v>
      </c>
      <c r="G85" s="201">
        <f>E85-F85</f>
        <v>0</v>
      </c>
    </row>
    <row r="86" spans="1:16" ht="41" customHeight="1" thickBot="1">
      <c r="A86" s="24" t="s">
        <v>163</v>
      </c>
      <c r="B86" s="82"/>
      <c r="C86" s="132"/>
      <c r="D86" s="132"/>
      <c r="E86" s="133">
        <f>SUM(E83:E85)</f>
        <v>0</v>
      </c>
      <c r="F86" s="133">
        <f>SUM(F81:F85)</f>
        <v>0</v>
      </c>
      <c r="G86" s="203">
        <f>E86-F86</f>
        <v>0</v>
      </c>
    </row>
    <row r="87" spans="1:16" s="8" customFormat="1" ht="11" customHeight="1" thickBot="1">
      <c r="A87" s="16"/>
      <c r="B87" s="56"/>
      <c r="C87" s="105"/>
      <c r="D87" s="102"/>
      <c r="E87" s="102"/>
      <c r="F87" s="7"/>
      <c r="G87" s="17"/>
      <c r="H87" s="7"/>
      <c r="I87" s="7"/>
      <c r="J87" s="7"/>
      <c r="K87" s="7"/>
      <c r="L87" s="7"/>
      <c r="M87" s="7"/>
      <c r="N87" s="7"/>
      <c r="O87" s="7"/>
      <c r="P87" s="7"/>
    </row>
    <row r="88" spans="1:16" ht="38" customHeight="1" thickBot="1">
      <c r="A88" s="258" t="s">
        <v>164</v>
      </c>
      <c r="B88" s="259" t="s">
        <v>92</v>
      </c>
      <c r="C88" s="250" t="s">
        <v>53</v>
      </c>
      <c r="D88" s="260" t="s">
        <v>54</v>
      </c>
      <c r="E88" s="260" t="s">
        <v>55</v>
      </c>
      <c r="F88" s="250"/>
      <c r="G88" s="147" t="s">
        <v>159</v>
      </c>
    </row>
    <row r="89" spans="1:16" ht="20" customHeight="1">
      <c r="A89" s="255" t="str">
        <f>'BASE PAX'!A64</f>
        <v>COORDENAÇÃO PRODUÇÃO</v>
      </c>
      <c r="B89" s="256">
        <f>'BASE PAX'!B64</f>
        <v>0</v>
      </c>
      <c r="C89" s="257">
        <f>'BASE PAX'!C64</f>
        <v>50000</v>
      </c>
      <c r="D89" s="257">
        <f>'BASE PAX'!D64</f>
        <v>0</v>
      </c>
      <c r="E89" s="121">
        <f>D89*B89</f>
        <v>0</v>
      </c>
      <c r="F89" s="257"/>
      <c r="G89" s="199">
        <f t="shared" ref="G89:G94" si="15">E89*0.2</f>
        <v>0</v>
      </c>
    </row>
    <row r="90" spans="1:16" ht="20" customHeight="1">
      <c r="A90" s="251" t="str">
        <f>'BASE PAX'!A65</f>
        <v>EXTRA MÃO DE OBRA</v>
      </c>
      <c r="B90" s="256">
        <f>'BASE PAX'!B65</f>
        <v>0</v>
      </c>
      <c r="C90" s="253">
        <f>'BASE PAX'!C65</f>
        <v>50000</v>
      </c>
      <c r="D90" s="253">
        <f>'BASE PAX'!D65</f>
        <v>0</v>
      </c>
      <c r="E90" s="121">
        <f t="shared" ref="E90:E94" si="16">D90*B90</f>
        <v>0</v>
      </c>
      <c r="F90" s="253"/>
      <c r="G90" s="199">
        <f t="shared" si="15"/>
        <v>0</v>
      </c>
    </row>
    <row r="91" spans="1:16" ht="20" customHeight="1">
      <c r="A91" s="251" t="str">
        <f>'BASE PAX'!A66</f>
        <v>TAXA LIMPEZA CHECK IN / CHECKOUT</v>
      </c>
      <c r="B91" s="252">
        <f>'BASE PAX'!B66</f>
        <v>0</v>
      </c>
      <c r="C91" s="253">
        <f>'BASE PAX'!C66</f>
        <v>40000</v>
      </c>
      <c r="D91" s="253">
        <f>'BASE PAX'!D66</f>
        <v>0</v>
      </c>
      <c r="E91" s="121">
        <f t="shared" si="16"/>
        <v>0</v>
      </c>
      <c r="F91" s="253"/>
      <c r="G91" s="199">
        <f t="shared" si="15"/>
        <v>0</v>
      </c>
    </row>
    <row r="92" spans="1:16" ht="20" customHeight="1">
      <c r="A92" s="251" t="str">
        <f>'BASE PAX'!A67</f>
        <v>TAXA LIMPEZA DIARIA</v>
      </c>
      <c r="B92" s="254">
        <f>'BASE PAX'!B67</f>
        <v>0</v>
      </c>
      <c r="C92" s="253">
        <f>'BASE PAX'!C67</f>
        <v>30000</v>
      </c>
      <c r="D92" s="253">
        <f>'BASE PAX'!D67</f>
        <v>0</v>
      </c>
      <c r="E92" s="121">
        <f t="shared" si="16"/>
        <v>0</v>
      </c>
      <c r="F92" s="253"/>
      <c r="G92" s="199">
        <f t="shared" si="15"/>
        <v>0</v>
      </c>
    </row>
    <row r="93" spans="1:16" ht="20" customHeight="1">
      <c r="A93" s="251" t="str">
        <f>'BASE PAX'!A68</f>
        <v>SOUVENIR</v>
      </c>
      <c r="B93" s="254">
        <f>'BASE PAX'!B68</f>
        <v>0</v>
      </c>
      <c r="C93" s="253">
        <f>'BASE PAX'!C68</f>
        <v>15000</v>
      </c>
      <c r="D93" s="253">
        <f>'BASE PAX'!D68</f>
        <v>0</v>
      </c>
      <c r="E93" s="121">
        <f t="shared" si="16"/>
        <v>0</v>
      </c>
      <c r="F93" s="253"/>
      <c r="G93" s="199">
        <f t="shared" si="15"/>
        <v>0</v>
      </c>
    </row>
    <row r="94" spans="1:16" ht="20" customHeight="1" thickBot="1">
      <c r="A94" s="251" t="str">
        <f>'BASE PAX'!A69</f>
        <v>ASSISTENTE COORDENAÇÃO</v>
      </c>
      <c r="B94" s="256">
        <f>'BASE PAX'!B69</f>
        <v>0</v>
      </c>
      <c r="C94" s="253">
        <f>'BASE PAX'!C69</f>
        <v>30000</v>
      </c>
      <c r="D94" s="253">
        <f>'BASE PAX'!D69</f>
        <v>0</v>
      </c>
      <c r="E94" s="121">
        <f t="shared" si="16"/>
        <v>0</v>
      </c>
      <c r="F94" s="253"/>
      <c r="G94" s="199">
        <f t="shared" si="15"/>
        <v>0</v>
      </c>
    </row>
    <row r="95" spans="1:16" ht="41" customHeight="1" thickBot="1">
      <c r="A95" s="25" t="s">
        <v>101</v>
      </c>
      <c r="B95" s="83"/>
      <c r="C95" s="134"/>
      <c r="D95" s="134"/>
      <c r="E95" s="135">
        <f>SUM(E89:E94)</f>
        <v>0</v>
      </c>
      <c r="F95" s="135"/>
      <c r="G95" s="203">
        <f>SUM(G89:G94)</f>
        <v>0</v>
      </c>
    </row>
    <row r="96" spans="1:16" s="8" customFormat="1" ht="11" customHeight="1" thickBot="1">
      <c r="A96" s="16"/>
      <c r="B96" s="56"/>
      <c r="C96" s="105"/>
      <c r="D96" s="102"/>
      <c r="E96" s="102"/>
      <c r="F96" s="7"/>
      <c r="G96" s="17"/>
      <c r="H96" s="7"/>
      <c r="I96" s="7"/>
      <c r="J96" s="7"/>
      <c r="K96" s="7"/>
      <c r="L96" s="7"/>
      <c r="M96" s="7"/>
      <c r="N96" s="7"/>
      <c r="O96" s="7"/>
      <c r="P96" s="7"/>
    </row>
    <row r="97" spans="1:16" ht="38" customHeight="1" thickBot="1">
      <c r="A97" s="26" t="s">
        <v>165</v>
      </c>
      <c r="B97" s="27" t="s">
        <v>92</v>
      </c>
      <c r="C97" s="136" t="s">
        <v>53</v>
      </c>
      <c r="D97" s="136" t="s">
        <v>54</v>
      </c>
      <c r="E97" s="137" t="s">
        <v>55</v>
      </c>
      <c r="F97" s="20"/>
      <c r="G97" s="20"/>
    </row>
    <row r="98" spans="1:16" ht="23" customHeight="1" thickBot="1">
      <c r="A98" s="84" t="str">
        <f>'BASE PAX'!A73</f>
        <v xml:space="preserve">QUINCHO DAY USE / CABIN </v>
      </c>
      <c r="B98" s="279">
        <f>'BASE PAX'!B73</f>
        <v>0</v>
      </c>
      <c r="C98" s="138">
        <f>'BASE PAX'!C73</f>
        <v>15000</v>
      </c>
      <c r="D98" s="138">
        <f>C98+(C98*0.2)</f>
        <v>18000</v>
      </c>
      <c r="E98" s="139">
        <f>D98*B98</f>
        <v>0</v>
      </c>
      <c r="F98" s="19"/>
      <c r="G98" s="17"/>
    </row>
    <row r="99" spans="1:16" ht="42" customHeight="1" thickBot="1">
      <c r="A99" s="26" t="s">
        <v>104</v>
      </c>
      <c r="B99" s="86"/>
      <c r="C99" s="140"/>
      <c r="D99" s="140"/>
      <c r="E99" s="141">
        <f>E98</f>
        <v>0</v>
      </c>
    </row>
    <row r="100" spans="1:16" s="6" customFormat="1" ht="20" customHeight="1">
      <c r="A100" s="28"/>
      <c r="B100" s="52"/>
      <c r="C100" s="11"/>
      <c r="D100" s="11"/>
      <c r="E100" s="11"/>
      <c r="F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9" customHeight="1"/>
  </sheetData>
  <sheetProtection sheet="1" objects="1" scenarios="1"/>
  <mergeCells count="17">
    <mergeCell ref="A11:A12"/>
    <mergeCell ref="A28:D28"/>
    <mergeCell ref="B5:C5"/>
    <mergeCell ref="F20:F21"/>
    <mergeCell ref="B11:B12"/>
    <mergeCell ref="D11:D12"/>
    <mergeCell ref="B9:C9"/>
    <mergeCell ref="D9:E9"/>
    <mergeCell ref="B8:C8"/>
    <mergeCell ref="D8:E8"/>
    <mergeCell ref="D6:E6"/>
    <mergeCell ref="B6:C6"/>
    <mergeCell ref="I11:K11"/>
    <mergeCell ref="D7:E7"/>
    <mergeCell ref="B7:C7"/>
    <mergeCell ref="F11:G13"/>
    <mergeCell ref="G20:G21"/>
  </mergeCells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P101"/>
  <sheetViews>
    <sheetView topLeftCell="A2" zoomScale="112" workbookViewId="0">
      <selection activeCell="C92" sqref="C92"/>
    </sheetView>
  </sheetViews>
  <sheetFormatPr baseColWidth="10" defaultColWidth="11" defaultRowHeight="17"/>
  <cols>
    <col min="1" max="1" width="48.796875" style="7" customWidth="1"/>
    <col min="2" max="2" width="23.796875" style="52" customWidth="1"/>
    <col min="3" max="3" width="24" style="7" customWidth="1"/>
    <col min="4" max="4" width="22.796875" style="12" customWidth="1"/>
    <col min="5" max="5" width="22.19921875" style="11" customWidth="1"/>
    <col min="6" max="6" width="31.19921875" style="7" customWidth="1"/>
    <col min="7" max="7" width="27.796875" style="6" customWidth="1"/>
    <col min="8" max="8" width="32.3984375" style="7" customWidth="1"/>
    <col min="9" max="9" width="23.59765625" style="7" customWidth="1"/>
    <col min="10" max="10" width="25.19921875" style="7" customWidth="1"/>
    <col min="11" max="11" width="28.796875" style="7" customWidth="1"/>
    <col min="12" max="12" width="36.19921875" style="7" customWidth="1"/>
    <col min="13" max="28" width="11" style="7" customWidth="1"/>
    <col min="29" max="16384" width="11" style="7"/>
  </cols>
  <sheetData>
    <row r="1" spans="1:16" ht="22" hidden="1" customHeight="1" thickBot="1"/>
    <row r="2" spans="1:16" ht="7" customHeight="1">
      <c r="D2" s="13"/>
    </row>
    <row r="3" spans="1:16" s="10" customFormat="1" ht="1" customHeight="1">
      <c r="A3" s="14"/>
      <c r="B3" s="53"/>
      <c r="C3" s="15" t="s">
        <v>11</v>
      </c>
      <c r="D3" s="15"/>
      <c r="E3" s="15"/>
      <c r="G3" s="9"/>
    </row>
    <row r="4" spans="1:16" s="10" customFormat="1" ht="19" customHeight="1">
      <c r="A4" s="14"/>
      <c r="B4" s="53"/>
      <c r="C4" s="15"/>
      <c r="D4" s="15"/>
      <c r="E4" s="15"/>
      <c r="G4" s="9"/>
    </row>
    <row r="5" spans="1:16" s="10" customFormat="1" ht="46" customHeight="1">
      <c r="A5" s="54" t="s">
        <v>129</v>
      </c>
      <c r="B5" s="674">
        <v>3</v>
      </c>
      <c r="C5" s="675"/>
      <c r="D5" s="277"/>
      <c r="E5" s="277" t="s">
        <v>13</v>
      </c>
      <c r="F5" s="278"/>
      <c r="G5" s="9"/>
    </row>
    <row r="6" spans="1:16" s="8" customFormat="1" ht="37" customHeight="1">
      <c r="A6" s="54" t="s">
        <v>130</v>
      </c>
      <c r="B6" s="683">
        <v>0</v>
      </c>
      <c r="C6" s="684"/>
      <c r="D6" s="682" t="s">
        <v>131</v>
      </c>
      <c r="E6" s="661"/>
      <c r="F6" s="106">
        <f>D21</f>
        <v>0</v>
      </c>
      <c r="G6" s="9"/>
      <c r="H6" s="10"/>
    </row>
    <row r="7" spans="1:16" s="8" customFormat="1" ht="33" customHeight="1">
      <c r="A7" s="55" t="s">
        <v>132</v>
      </c>
      <c r="B7" s="662">
        <f>CALENDAR!C2</f>
        <v>0</v>
      </c>
      <c r="C7" s="661"/>
      <c r="D7" s="660" t="s">
        <v>133</v>
      </c>
      <c r="E7" s="661"/>
      <c r="F7" s="107">
        <f>SUM(F12:F20)</f>
        <v>0</v>
      </c>
      <c r="G7" s="9"/>
      <c r="H7" s="10"/>
    </row>
    <row r="8" spans="1:16" s="8" customFormat="1" ht="31" customHeight="1">
      <c r="A8" s="54" t="s">
        <v>134</v>
      </c>
      <c r="B8" s="680">
        <f>CALENDAR!C3</f>
        <v>0</v>
      </c>
      <c r="C8" s="661"/>
      <c r="D8" s="681" t="s">
        <v>135</v>
      </c>
      <c r="E8" s="661"/>
      <c r="F8" s="108">
        <f>F6-F7</f>
        <v>0</v>
      </c>
      <c r="G8" s="9"/>
      <c r="H8" s="10"/>
    </row>
    <row r="9" spans="1:16" s="8" customFormat="1" ht="32" customHeight="1">
      <c r="A9" s="55" t="s">
        <v>136</v>
      </c>
      <c r="B9" s="678">
        <f>CALENDAR!J2</f>
        <v>0</v>
      </c>
      <c r="C9" s="661"/>
      <c r="D9" s="679" t="s">
        <v>137</v>
      </c>
      <c r="E9" s="661"/>
      <c r="F9" s="1"/>
      <c r="G9" s="9"/>
      <c r="H9" s="10"/>
    </row>
    <row r="10" spans="1:16" s="8" customFormat="1" ht="30" customHeight="1" thickBot="1">
      <c r="A10" s="16"/>
      <c r="B10" s="56"/>
      <c r="C10" s="6"/>
      <c r="D10" s="7"/>
      <c r="E10" s="7"/>
      <c r="F10" s="7"/>
      <c r="G10" s="17"/>
      <c r="H10" s="7"/>
      <c r="I10" s="7"/>
      <c r="J10" s="7"/>
      <c r="K10" s="7"/>
      <c r="L10" s="7"/>
      <c r="M10" s="7"/>
      <c r="N10" s="7"/>
      <c r="O10" s="7"/>
      <c r="P10" s="7"/>
    </row>
    <row r="11" spans="1:16" s="6" customFormat="1" ht="44" customHeight="1" thickBot="1">
      <c r="A11" s="671" t="s">
        <v>138</v>
      </c>
      <c r="B11" s="677" t="s">
        <v>139</v>
      </c>
      <c r="C11" s="57" t="s">
        <v>140</v>
      </c>
      <c r="D11" s="677" t="s">
        <v>141</v>
      </c>
      <c r="E11" s="7"/>
      <c r="F11" s="738" t="str">
        <f>E5</f>
        <v>CHAITEN</v>
      </c>
      <c r="G11" s="664"/>
      <c r="H11" s="7"/>
      <c r="I11" s="658" t="s">
        <v>142</v>
      </c>
      <c r="J11" s="659"/>
      <c r="K11" s="659"/>
      <c r="L11" s="7"/>
      <c r="M11" s="7"/>
      <c r="N11" s="7"/>
      <c r="O11" s="7"/>
      <c r="P11" s="7"/>
    </row>
    <row r="12" spans="1:16" s="6" customFormat="1" ht="32" customHeight="1">
      <c r="A12" s="659"/>
      <c r="B12" s="659"/>
      <c r="C12" s="58">
        <v>0.05</v>
      </c>
      <c r="D12" s="659"/>
      <c r="E12" s="7"/>
      <c r="F12" s="665"/>
      <c r="G12" s="666"/>
      <c r="H12" s="7"/>
      <c r="I12" s="59" t="s">
        <v>126</v>
      </c>
      <c r="J12" s="60" t="s">
        <v>143</v>
      </c>
      <c r="K12" s="60" t="s">
        <v>144</v>
      </c>
      <c r="L12" s="7"/>
      <c r="M12" s="7"/>
      <c r="N12" s="7"/>
      <c r="O12" s="7"/>
      <c r="P12" s="7"/>
    </row>
    <row r="13" spans="1:16" ht="22" customHeight="1" thickBot="1">
      <c r="A13" s="61" t="s">
        <v>15</v>
      </c>
      <c r="B13" s="109">
        <f>G28</f>
        <v>0</v>
      </c>
      <c r="C13" s="109">
        <f t="shared" ref="C13:C20" si="0">B13*$C$12</f>
        <v>0</v>
      </c>
      <c r="D13" s="109">
        <f t="shared" ref="D13:D20" si="1">B13+(B13*$C$12)</f>
        <v>0</v>
      </c>
      <c r="E13" s="7"/>
      <c r="F13" s="667"/>
      <c r="G13" s="668"/>
      <c r="I13" s="3"/>
      <c r="J13" s="4"/>
      <c r="K13" s="5"/>
    </row>
    <row r="14" spans="1:16" s="6" customFormat="1" ht="20" customHeight="1">
      <c r="A14" s="62" t="s">
        <v>16</v>
      </c>
      <c r="B14" s="110">
        <f>J49</f>
        <v>0</v>
      </c>
      <c r="C14" s="110">
        <f t="shared" si="0"/>
        <v>0</v>
      </c>
      <c r="D14" s="110">
        <f t="shared" si="1"/>
        <v>0</v>
      </c>
      <c r="E14" s="7"/>
      <c r="F14" s="271" t="str">
        <f t="shared" ref="F14:F19" si="2">A14</f>
        <v>2.FOOD</v>
      </c>
      <c r="G14" s="261">
        <f>G49</f>
        <v>0</v>
      </c>
      <c r="H14" s="7"/>
      <c r="I14" s="3"/>
      <c r="J14" s="4"/>
      <c r="K14" s="5"/>
      <c r="L14" s="7"/>
      <c r="M14" s="7"/>
      <c r="N14" s="7"/>
      <c r="O14" s="7"/>
      <c r="P14" s="7"/>
    </row>
    <row r="15" spans="1:16" s="6" customFormat="1" ht="20" customHeight="1">
      <c r="A15" s="63" t="s">
        <v>17</v>
      </c>
      <c r="B15" s="111">
        <f>E59</f>
        <v>0</v>
      </c>
      <c r="C15" s="111">
        <f t="shared" si="0"/>
        <v>0</v>
      </c>
      <c r="D15" s="111">
        <f t="shared" si="1"/>
        <v>0</v>
      </c>
      <c r="E15" s="7"/>
      <c r="F15" s="272" t="str">
        <f t="shared" si="2"/>
        <v>3.DRINKS</v>
      </c>
      <c r="G15" s="262">
        <f>G59</f>
        <v>0</v>
      </c>
      <c r="H15" s="7"/>
      <c r="I15" s="3"/>
      <c r="J15" s="4"/>
      <c r="K15" s="5"/>
      <c r="L15" s="7"/>
      <c r="M15" s="7"/>
      <c r="N15" s="7"/>
      <c r="O15" s="7"/>
      <c r="P15" s="7"/>
    </row>
    <row r="16" spans="1:16" s="6" customFormat="1" ht="20" customHeight="1">
      <c r="A16" s="55" t="s">
        <v>18</v>
      </c>
      <c r="B16" s="112">
        <f>$E$72</f>
        <v>0</v>
      </c>
      <c r="C16" s="112">
        <f t="shared" si="0"/>
        <v>0</v>
      </c>
      <c r="D16" s="112">
        <f t="shared" si="1"/>
        <v>0</v>
      </c>
      <c r="E16" s="7"/>
      <c r="F16" s="273" t="str">
        <f t="shared" si="2"/>
        <v>4. ACTIVITIES</v>
      </c>
      <c r="G16" s="263">
        <f>G72</f>
        <v>0</v>
      </c>
      <c r="H16" s="7"/>
      <c r="I16" s="3"/>
      <c r="J16" s="4"/>
      <c r="K16" s="5"/>
      <c r="L16" s="7"/>
      <c r="M16" s="7"/>
      <c r="N16" s="7"/>
      <c r="O16" s="7"/>
      <c r="P16" s="7"/>
    </row>
    <row r="17" spans="1:16" s="6" customFormat="1" ht="20" customHeight="1">
      <c r="A17" s="63" t="s">
        <v>19</v>
      </c>
      <c r="B17" s="111">
        <f>$E$80</f>
        <v>0</v>
      </c>
      <c r="C17" s="111">
        <f t="shared" si="0"/>
        <v>0</v>
      </c>
      <c r="D17" s="111">
        <f t="shared" si="1"/>
        <v>0</v>
      </c>
      <c r="E17" s="7"/>
      <c r="F17" s="274" t="str">
        <f t="shared" si="2"/>
        <v>5.TRANSPORT</v>
      </c>
      <c r="G17" s="174">
        <f>G80</f>
        <v>0</v>
      </c>
      <c r="H17" s="7"/>
      <c r="I17" s="3"/>
      <c r="J17" s="4"/>
      <c r="K17" s="5"/>
      <c r="L17" s="7"/>
      <c r="M17" s="7"/>
      <c r="N17" s="7"/>
      <c r="O17" s="7"/>
      <c r="P17" s="7"/>
    </row>
    <row r="18" spans="1:16" s="6" customFormat="1" ht="20" customHeight="1">
      <c r="A18" s="64" t="s">
        <v>20</v>
      </c>
      <c r="B18" s="113">
        <f>$E$86</f>
        <v>0</v>
      </c>
      <c r="C18" s="113">
        <f t="shared" si="0"/>
        <v>0</v>
      </c>
      <c r="D18" s="113">
        <f t="shared" si="1"/>
        <v>0</v>
      </c>
      <c r="E18" s="10"/>
      <c r="F18" s="275" t="str">
        <f t="shared" si="2"/>
        <v>6.EXPERIENCES</v>
      </c>
      <c r="G18" s="264">
        <f>G86</f>
        <v>0</v>
      </c>
      <c r="H18" s="7"/>
      <c r="I18" s="3"/>
      <c r="J18" s="4"/>
      <c r="K18" s="5"/>
      <c r="L18" s="7"/>
      <c r="M18" s="7"/>
      <c r="N18" s="7"/>
      <c r="O18" s="7"/>
      <c r="P18" s="7"/>
    </row>
    <row r="19" spans="1:16" s="6" customFormat="1" ht="20" customHeight="1">
      <c r="A19" s="65" t="s">
        <v>21</v>
      </c>
      <c r="B19" s="114">
        <f>$E$95</f>
        <v>0</v>
      </c>
      <c r="C19" s="114">
        <f t="shared" si="0"/>
        <v>0</v>
      </c>
      <c r="D19" s="114">
        <f t="shared" si="1"/>
        <v>0</v>
      </c>
      <c r="E19" s="7"/>
      <c r="F19" s="276" t="str">
        <f t="shared" si="2"/>
        <v>7.EXTRAS</v>
      </c>
      <c r="G19" s="151">
        <f>G95</f>
        <v>0</v>
      </c>
      <c r="H19" s="7"/>
      <c r="I19" s="3"/>
      <c r="J19" s="4"/>
      <c r="K19" s="5"/>
      <c r="L19" s="7"/>
      <c r="M19" s="7"/>
      <c r="N19" s="7"/>
      <c r="O19" s="7"/>
      <c r="P19" s="7"/>
    </row>
    <row r="20" spans="1:16" s="6" customFormat="1" ht="20" customHeight="1" thickBot="1">
      <c r="A20" s="66" t="s">
        <v>22</v>
      </c>
      <c r="B20" s="115">
        <f>$E$99</f>
        <v>0</v>
      </c>
      <c r="C20" s="115">
        <f t="shared" si="0"/>
        <v>0</v>
      </c>
      <c r="D20" s="115">
        <f t="shared" si="1"/>
        <v>0</v>
      </c>
      <c r="E20" s="7"/>
      <c r="F20" s="676" t="s">
        <v>145</v>
      </c>
      <c r="G20" s="669">
        <f>G14+G15+G16+G17+G18+G19</f>
        <v>0</v>
      </c>
      <c r="H20" s="7"/>
      <c r="I20" s="3"/>
      <c r="J20" s="4"/>
      <c r="K20" s="5"/>
      <c r="L20" s="7"/>
      <c r="M20" s="7"/>
      <c r="N20" s="7"/>
      <c r="O20" s="7"/>
      <c r="P20" s="7"/>
    </row>
    <row r="21" spans="1:16" ht="35" customHeight="1" thickBot="1">
      <c r="A21" s="67" t="s">
        <v>146</v>
      </c>
      <c r="B21" s="116">
        <f>SUM(B13:B20)</f>
        <v>0</v>
      </c>
      <c r="C21" s="116"/>
      <c r="D21" s="116">
        <f>SUM(D13:D20)</f>
        <v>0</v>
      </c>
      <c r="E21" s="51"/>
      <c r="F21" s="670"/>
      <c r="G21" s="670"/>
    </row>
    <row r="22" spans="1:16" s="8" customFormat="1" ht="11" customHeight="1" thickBot="1">
      <c r="A22" s="16"/>
      <c r="B22" s="56"/>
      <c r="C22" s="6"/>
      <c r="D22" s="7"/>
      <c r="E22" s="7"/>
      <c r="F22" s="7"/>
      <c r="G22" s="17"/>
      <c r="H22" s="7"/>
      <c r="I22" s="7"/>
      <c r="J22" s="7"/>
      <c r="K22" s="7"/>
      <c r="L22" s="7"/>
      <c r="M22" s="7"/>
      <c r="N22" s="7"/>
      <c r="O22" s="7"/>
      <c r="P22" s="7"/>
    </row>
    <row r="23" spans="1:16" ht="44" customHeight="1" thickBot="1">
      <c r="A23" s="68" t="s">
        <v>114</v>
      </c>
      <c r="B23" s="69" t="s">
        <v>52</v>
      </c>
      <c r="C23" s="69" t="s">
        <v>147</v>
      </c>
      <c r="D23" s="69" t="s">
        <v>148</v>
      </c>
      <c r="E23" s="70" t="s">
        <v>149</v>
      </c>
      <c r="F23" s="70" t="s">
        <v>150</v>
      </c>
      <c r="G23" s="70" t="s">
        <v>151</v>
      </c>
    </row>
    <row r="24" spans="1:16" ht="20" customHeight="1">
      <c r="A24" s="71" t="s">
        <v>170</v>
      </c>
      <c r="B24" s="93">
        <v>0</v>
      </c>
      <c r="C24" s="117">
        <f>288190.9</f>
        <v>288190.90000000002</v>
      </c>
      <c r="D24" s="118"/>
      <c r="E24" s="119">
        <f>(C24+D24)*$B$9*B24</f>
        <v>0</v>
      </c>
      <c r="F24" s="2">
        <v>0</v>
      </c>
      <c r="G24" s="119">
        <f>E24-(E24*F24)</f>
        <v>0</v>
      </c>
    </row>
    <row r="25" spans="1:16" ht="20" customHeight="1">
      <c r="A25" s="71" t="s">
        <v>171</v>
      </c>
      <c r="B25" s="93">
        <v>1</v>
      </c>
      <c r="C25" s="117">
        <f>288190.9</f>
        <v>288190.90000000002</v>
      </c>
      <c r="D25" s="118">
        <v>50000</v>
      </c>
      <c r="E25" s="119">
        <f>(C25+D25)*$B$9*B25</f>
        <v>0</v>
      </c>
      <c r="F25" s="2">
        <v>0</v>
      </c>
      <c r="G25" s="119">
        <f>E25-(E25*F25)</f>
        <v>0</v>
      </c>
    </row>
    <row r="26" spans="1:16" ht="20" customHeight="1">
      <c r="A26" s="71" t="s">
        <v>172</v>
      </c>
      <c r="B26" s="93">
        <v>0</v>
      </c>
      <c r="C26" s="117">
        <f>259371.81</f>
        <v>259371.81</v>
      </c>
      <c r="D26" s="118"/>
      <c r="E26" s="119">
        <f>(C26+D26)*$B$9*B26</f>
        <v>0</v>
      </c>
      <c r="F26" s="2">
        <v>0</v>
      </c>
      <c r="G26" s="119">
        <f>E26-(E26*F26)</f>
        <v>0</v>
      </c>
    </row>
    <row r="27" spans="1:16" ht="20" customHeight="1" thickBot="1">
      <c r="A27" s="71" t="s">
        <v>173</v>
      </c>
      <c r="B27" s="93">
        <v>0</v>
      </c>
      <c r="C27" s="117">
        <f>259371.81</f>
        <v>259371.81</v>
      </c>
      <c r="D27" s="118">
        <v>50000</v>
      </c>
      <c r="E27" s="119">
        <f>(C27+D27)*$B$9*B27</f>
        <v>0</v>
      </c>
      <c r="F27" s="2">
        <v>0</v>
      </c>
      <c r="G27" s="119">
        <f>E27-(E27*F27)</f>
        <v>0</v>
      </c>
    </row>
    <row r="28" spans="1:16" ht="29" customHeight="1" thickBot="1">
      <c r="A28" s="672" t="s">
        <v>156</v>
      </c>
      <c r="B28" s="673"/>
      <c r="C28" s="673"/>
      <c r="D28" s="673"/>
      <c r="E28" s="72"/>
      <c r="F28" s="73"/>
      <c r="G28" s="120">
        <f>SUM(G24:G27)</f>
        <v>0</v>
      </c>
    </row>
    <row r="29" spans="1:16" s="8" customFormat="1" ht="11" customHeight="1" thickBot="1">
      <c r="A29" s="16"/>
      <c r="B29" s="56"/>
      <c r="C29" s="6"/>
      <c r="D29" s="7"/>
      <c r="E29" s="7"/>
      <c r="F29" s="7"/>
      <c r="G29" s="17"/>
      <c r="H29" s="7"/>
      <c r="I29" s="7"/>
      <c r="J29" s="7"/>
      <c r="K29" s="7"/>
      <c r="L29" s="7"/>
      <c r="M29" s="7"/>
      <c r="N29" s="7"/>
      <c r="O29" s="7"/>
      <c r="P29" s="7"/>
    </row>
    <row r="30" spans="1:16" s="10" customFormat="1" ht="40" customHeight="1" thickBot="1">
      <c r="A30" s="18" t="s">
        <v>51</v>
      </c>
      <c r="B30" s="159" t="s">
        <v>52</v>
      </c>
      <c r="C30" s="160" t="s">
        <v>53</v>
      </c>
      <c r="D30" s="153" t="s">
        <v>54</v>
      </c>
      <c r="E30" s="149" t="s">
        <v>157</v>
      </c>
      <c r="F30" s="103" t="s">
        <v>158</v>
      </c>
      <c r="G30" s="147" t="s">
        <v>159</v>
      </c>
    </row>
    <row r="31" spans="1:16" ht="20" customHeight="1" thickBot="1">
      <c r="A31" s="154" t="str">
        <f>'BASE PAX'!A6</f>
        <v>BREAKFAST</v>
      </c>
      <c r="B31" s="284">
        <f>(B5*B9*'BASE PAX'!G6)+('BASE PAX'!H6*B6*B9)</f>
        <v>0</v>
      </c>
      <c r="C31" s="121"/>
      <c r="D31" s="144"/>
      <c r="E31" s="283"/>
      <c r="F31" s="122">
        <f t="shared" ref="F31:F46" si="3">B31*C31</f>
        <v>0</v>
      </c>
      <c r="G31" s="325">
        <f>0.2*B31</f>
        <v>0</v>
      </c>
      <c r="H31" s="351" t="str">
        <f>'BASE PAX'!A6</f>
        <v>BREAKFAST</v>
      </c>
      <c r="I31" s="357">
        <f>B31</f>
        <v>0</v>
      </c>
    </row>
    <row r="32" spans="1:16" ht="20" customHeight="1">
      <c r="A32" s="155" t="str">
        <f>'BASE PAX'!A7</f>
        <v>LUNCH 1</v>
      </c>
      <c r="B32" s="91">
        <f>($B$5+($B$6*0.5))*'BASE PAX'!B7</f>
        <v>0</v>
      </c>
      <c r="C32" s="123">
        <f>'BASE PAX'!C7</f>
        <v>40000</v>
      </c>
      <c r="D32" s="125">
        <f>'BASE PAX'!D7</f>
        <v>48000</v>
      </c>
      <c r="E32" s="151">
        <f t="shared" ref="E32:E46" si="4">D32*B32</f>
        <v>0</v>
      </c>
      <c r="F32" s="124">
        <f t="shared" si="3"/>
        <v>0</v>
      </c>
      <c r="G32" s="146">
        <f t="shared" ref="G32:G46" si="5">E32-F32</f>
        <v>0</v>
      </c>
      <c r="H32" s="292"/>
      <c r="I32" s="295"/>
    </row>
    <row r="33" spans="1:11" ht="20" customHeight="1">
      <c r="A33" s="155" t="str">
        <f>'BASE PAX'!A8</f>
        <v>LUNCH 2</v>
      </c>
      <c r="B33" s="91">
        <f>($B$5+($B$6*0.5))*'BASE PAX'!B8</f>
        <v>0</v>
      </c>
      <c r="C33" s="123">
        <f>'BASE PAX'!C8</f>
        <v>40000</v>
      </c>
      <c r="D33" s="125">
        <f>'BASE PAX'!D8</f>
        <v>48000</v>
      </c>
      <c r="E33" s="151">
        <f t="shared" si="4"/>
        <v>0</v>
      </c>
      <c r="F33" s="124">
        <f t="shared" si="3"/>
        <v>0</v>
      </c>
      <c r="G33" s="146">
        <f t="shared" si="5"/>
        <v>0</v>
      </c>
      <c r="H33" s="292"/>
      <c r="I33" s="295"/>
    </row>
    <row r="34" spans="1:11" ht="20" customHeight="1">
      <c r="A34" s="155" t="str">
        <f>'BASE PAX'!A9</f>
        <v>LUNCH 3</v>
      </c>
      <c r="B34" s="91">
        <f>($B$5+($B$6*0.5))*'BASE PAX'!B9</f>
        <v>0</v>
      </c>
      <c r="C34" s="123">
        <f>'BASE PAX'!C9</f>
        <v>40000</v>
      </c>
      <c r="D34" s="125">
        <f>'BASE PAX'!D9</f>
        <v>48000</v>
      </c>
      <c r="E34" s="151">
        <f t="shared" si="4"/>
        <v>0</v>
      </c>
      <c r="F34" s="124">
        <f t="shared" si="3"/>
        <v>0</v>
      </c>
      <c r="G34" s="146">
        <f t="shared" si="5"/>
        <v>0</v>
      </c>
      <c r="H34" s="292"/>
      <c r="I34" s="295"/>
    </row>
    <row r="35" spans="1:11" ht="20" customHeight="1">
      <c r="A35" s="155" t="str">
        <f>'BASE PAX'!A10</f>
        <v>LUNCH 4</v>
      </c>
      <c r="B35" s="91">
        <f>($B$5+($B$6*0.5))*'BASE PAX'!B10</f>
        <v>0</v>
      </c>
      <c r="C35" s="123">
        <f>'BASE PAX'!C10</f>
        <v>45000</v>
      </c>
      <c r="D35" s="125">
        <f>'BASE PAX'!D10</f>
        <v>54000</v>
      </c>
      <c r="E35" s="151">
        <f t="shared" si="4"/>
        <v>0</v>
      </c>
      <c r="F35" s="124">
        <f t="shared" si="3"/>
        <v>0</v>
      </c>
      <c r="G35" s="146">
        <f t="shared" si="5"/>
        <v>0</v>
      </c>
      <c r="H35" s="292"/>
      <c r="I35" s="295"/>
    </row>
    <row r="36" spans="1:11" ht="20" customHeight="1">
      <c r="A36" s="155" t="str">
        <f>'BASE PAX'!A11</f>
        <v>LUNCH 5</v>
      </c>
      <c r="B36" s="91">
        <f>($B$5+($B$6*0.6))*'BASE PAX'!B11</f>
        <v>0</v>
      </c>
      <c r="C36" s="123">
        <f>'BASE PAX'!C11</f>
        <v>50000</v>
      </c>
      <c r="D36" s="125">
        <f>'BASE PAX'!D11</f>
        <v>60000</v>
      </c>
      <c r="E36" s="151">
        <f t="shared" si="4"/>
        <v>0</v>
      </c>
      <c r="F36" s="124">
        <f t="shared" si="3"/>
        <v>0</v>
      </c>
      <c r="G36" s="146">
        <f t="shared" si="5"/>
        <v>0</v>
      </c>
      <c r="H36" s="292"/>
      <c r="I36" s="295"/>
    </row>
    <row r="37" spans="1:11" ht="20" customHeight="1">
      <c r="A37" s="155" t="str">
        <f>'BASE PAX'!A12</f>
        <v>LUNCH 6</v>
      </c>
      <c r="B37" s="91">
        <f>($B$5+($B$6*0.5))*'BASE PAX'!B12</f>
        <v>0</v>
      </c>
      <c r="C37" s="123">
        <f>'BASE PAX'!C12</f>
        <v>0</v>
      </c>
      <c r="D37" s="125">
        <f>'BASE PAX'!D12</f>
        <v>0</v>
      </c>
      <c r="E37" s="151">
        <f t="shared" si="4"/>
        <v>0</v>
      </c>
      <c r="F37" s="124">
        <f t="shared" si="3"/>
        <v>0</v>
      </c>
      <c r="G37" s="146">
        <f t="shared" si="5"/>
        <v>0</v>
      </c>
      <c r="H37" s="292"/>
      <c r="I37" s="295"/>
    </row>
    <row r="38" spans="1:11" ht="20" customHeight="1">
      <c r="A38" s="155" t="str">
        <f>'BASE PAX'!A13</f>
        <v>LUNCH 7</v>
      </c>
      <c r="B38" s="91">
        <f>($B$5+($B$6*0.5))*'BASE PAX'!B13</f>
        <v>0</v>
      </c>
      <c r="C38" s="123">
        <f>'BASE PAX'!C13</f>
        <v>5000</v>
      </c>
      <c r="D38" s="125">
        <f>'BASE PAX'!D13</f>
        <v>6000</v>
      </c>
      <c r="E38" s="151">
        <f t="shared" si="4"/>
        <v>0</v>
      </c>
      <c r="F38" s="124">
        <f t="shared" si="3"/>
        <v>0</v>
      </c>
      <c r="G38" s="146">
        <f t="shared" si="5"/>
        <v>0</v>
      </c>
      <c r="H38" s="292"/>
      <c r="I38" s="295"/>
    </row>
    <row r="39" spans="1:11" ht="20" customHeight="1">
      <c r="A39" s="156" t="str">
        <f>'BASE PAX'!A14</f>
        <v>SNACKS</v>
      </c>
      <c r="B39" s="92">
        <f>($B$5+$B$6)*'BASE PAX'!B14</f>
        <v>0</v>
      </c>
      <c r="C39" s="125">
        <f>'BASE PAX'!C14</f>
        <v>8000</v>
      </c>
      <c r="D39" s="145">
        <f>'BASE PAX'!D14</f>
        <v>9600</v>
      </c>
      <c r="E39" s="150">
        <f t="shared" si="4"/>
        <v>0</v>
      </c>
      <c r="F39" s="122">
        <f t="shared" si="3"/>
        <v>0</v>
      </c>
      <c r="G39" s="146">
        <f t="shared" si="5"/>
        <v>0</v>
      </c>
      <c r="H39" s="292"/>
      <c r="I39" s="295"/>
    </row>
    <row r="40" spans="1:11" ht="20" customHeight="1">
      <c r="A40" s="155" t="str">
        <f>'BASE PAX'!A15</f>
        <v>DINNER 1</v>
      </c>
      <c r="B40" s="91">
        <f>($B$5+($B$6*0.6))*'BASE PAX'!B15</f>
        <v>0</v>
      </c>
      <c r="C40" s="123">
        <f>'BASE PAX'!C15</f>
        <v>70000</v>
      </c>
      <c r="D40" s="125">
        <f>'BASE PAX'!D15</f>
        <v>84000</v>
      </c>
      <c r="E40" s="151">
        <f t="shared" si="4"/>
        <v>0</v>
      </c>
      <c r="F40" s="124">
        <f t="shared" si="3"/>
        <v>0</v>
      </c>
      <c r="G40" s="146">
        <f t="shared" si="5"/>
        <v>0</v>
      </c>
      <c r="H40" s="292"/>
      <c r="I40" s="295"/>
    </row>
    <row r="41" spans="1:11" ht="20" customHeight="1">
      <c r="A41" s="155" t="str">
        <f>'BASE PAX'!A16</f>
        <v>DINNER 2</v>
      </c>
      <c r="B41" s="91">
        <f>($B$5+($B$6*0.6))*'BASE PAX'!B16</f>
        <v>0</v>
      </c>
      <c r="C41" s="123">
        <f>'BASE PAX'!C16</f>
        <v>25000</v>
      </c>
      <c r="D41" s="125">
        <f>'BASE PAX'!D16</f>
        <v>30000</v>
      </c>
      <c r="E41" s="151">
        <f t="shared" si="4"/>
        <v>0</v>
      </c>
      <c r="F41" s="124">
        <f t="shared" si="3"/>
        <v>0</v>
      </c>
      <c r="G41" s="146">
        <f t="shared" si="5"/>
        <v>0</v>
      </c>
      <c r="H41" s="292"/>
      <c r="I41" s="295"/>
    </row>
    <row r="42" spans="1:11" ht="20" customHeight="1">
      <c r="A42" s="155" t="str">
        <f>'BASE PAX'!A17</f>
        <v>DINNER 3</v>
      </c>
      <c r="B42" s="91">
        <f>($B$5+($B$6*0.6))*'BASE PAX'!B17</f>
        <v>0</v>
      </c>
      <c r="C42" s="123">
        <f>'BASE PAX'!C17</f>
        <v>50000</v>
      </c>
      <c r="D42" s="125">
        <f>'BASE PAX'!D17</f>
        <v>60000</v>
      </c>
      <c r="E42" s="151">
        <f t="shared" si="4"/>
        <v>0</v>
      </c>
      <c r="F42" s="124">
        <f t="shared" si="3"/>
        <v>0</v>
      </c>
      <c r="G42" s="146">
        <f t="shared" si="5"/>
        <v>0</v>
      </c>
      <c r="H42" s="292"/>
      <c r="I42" s="295"/>
    </row>
    <row r="43" spans="1:11" ht="20" customHeight="1">
      <c r="A43" s="155" t="str">
        <f>'BASE PAX'!A18</f>
        <v>DINNER 4</v>
      </c>
      <c r="B43" s="91">
        <f>($B$5+($B$6*0.5))*'BASE PAX'!B18</f>
        <v>0</v>
      </c>
      <c r="C43" s="123">
        <f>'BASE PAX'!C18</f>
        <v>65000</v>
      </c>
      <c r="D43" s="125">
        <f>'BASE PAX'!D18</f>
        <v>78000</v>
      </c>
      <c r="E43" s="151">
        <f t="shared" si="4"/>
        <v>0</v>
      </c>
      <c r="F43" s="124">
        <f t="shared" si="3"/>
        <v>0</v>
      </c>
      <c r="G43" s="146">
        <f t="shared" si="5"/>
        <v>0</v>
      </c>
      <c r="H43" s="292"/>
      <c r="I43" s="295"/>
    </row>
    <row r="44" spans="1:11" ht="20" customHeight="1">
      <c r="A44" s="155" t="str">
        <f>'BASE PAX'!A19</f>
        <v>DINNER 5</v>
      </c>
      <c r="B44" s="91">
        <f>($B$5+($B$6*0.6))*'BASE PAX'!B19</f>
        <v>0</v>
      </c>
      <c r="C44" s="123">
        <f>'BASE PAX'!C19</f>
        <v>75000</v>
      </c>
      <c r="D44" s="125">
        <f>'BASE PAX'!D19</f>
        <v>90000</v>
      </c>
      <c r="E44" s="151">
        <f t="shared" si="4"/>
        <v>0</v>
      </c>
      <c r="F44" s="124">
        <f t="shared" si="3"/>
        <v>0</v>
      </c>
      <c r="G44" s="146">
        <f t="shared" si="5"/>
        <v>0</v>
      </c>
      <c r="H44" s="292"/>
      <c r="I44" s="295"/>
    </row>
    <row r="45" spans="1:11" ht="20" customHeight="1">
      <c r="A45" s="155" t="str">
        <f>'BASE PAX'!A20</f>
        <v>DINNER 6</v>
      </c>
      <c r="B45" s="91">
        <f>($B$5+($B$6*0.5))*'BASE PAX'!B20</f>
        <v>0</v>
      </c>
      <c r="C45" s="123">
        <f>'BASE PAX'!C20</f>
        <v>0</v>
      </c>
      <c r="D45" s="125">
        <f>'BASE PAX'!D20</f>
        <v>0</v>
      </c>
      <c r="E45" s="151">
        <f t="shared" si="4"/>
        <v>0</v>
      </c>
      <c r="F45" s="124">
        <f t="shared" si="3"/>
        <v>0</v>
      </c>
      <c r="G45" s="146">
        <f t="shared" si="5"/>
        <v>0</v>
      </c>
      <c r="H45" s="292"/>
      <c r="I45" s="295"/>
    </row>
    <row r="46" spans="1:11" ht="20" customHeight="1" thickBot="1">
      <c r="A46" s="155" t="str">
        <f>'BASE PAX'!A21</f>
        <v>DINNER 7</v>
      </c>
      <c r="B46" s="91">
        <f>($B$5+($B$6*0.6))*'BASE PAX'!B21</f>
        <v>0</v>
      </c>
      <c r="C46" s="123">
        <f>'BASE PAX'!C21</f>
        <v>75000</v>
      </c>
      <c r="D46" s="125">
        <f>'BASE PAX'!D21</f>
        <v>90000</v>
      </c>
      <c r="E46" s="151">
        <f t="shared" si="4"/>
        <v>0</v>
      </c>
      <c r="F46" s="124">
        <f t="shared" si="3"/>
        <v>0</v>
      </c>
      <c r="G46" s="146">
        <f t="shared" si="5"/>
        <v>0</v>
      </c>
      <c r="H46" s="292"/>
      <c r="I46" s="295"/>
    </row>
    <row r="47" spans="1:11" ht="20" customHeight="1">
      <c r="A47" s="155" t="str">
        <f>'BASE PAX'!A22</f>
        <v>QUANT. TOTAL | PADRAO ALMOÇO</v>
      </c>
      <c r="B47" s="91">
        <f>'BASE PAX'!B22</f>
        <v>0</v>
      </c>
      <c r="C47" s="123"/>
      <c r="D47" s="125"/>
      <c r="E47" s="151"/>
      <c r="F47" s="124"/>
      <c r="G47" s="325">
        <f>0.2*I47</f>
        <v>0</v>
      </c>
      <c r="H47" s="337" t="str">
        <f>'BASE PAX'!A22</f>
        <v>QUANT. TOTAL | PADRAO ALMOÇO</v>
      </c>
      <c r="I47" s="350">
        <f>(B5*B47*'BASE PAX'!G22)+(B6*B47*'BASE PAX'!H22)</f>
        <v>0</v>
      </c>
      <c r="J47" s="328"/>
      <c r="K47" s="329"/>
    </row>
    <row r="48" spans="1:11" ht="20" customHeight="1" thickBot="1">
      <c r="A48" s="163" t="str">
        <f>'BASE PAX'!A23</f>
        <v>QUANT. TOTAL | PADRAO JANTAR</v>
      </c>
      <c r="B48" s="171">
        <f>'BASE PAX'!B23</f>
        <v>0</v>
      </c>
      <c r="C48" s="165"/>
      <c r="D48" s="166"/>
      <c r="E48" s="167"/>
      <c r="F48" s="168"/>
      <c r="G48" s="326">
        <f>0.2*I48</f>
        <v>0</v>
      </c>
      <c r="H48" s="346" t="str">
        <f>'BASE PAX'!A23</f>
        <v>QUANT. TOTAL | PADRAO JANTAR</v>
      </c>
      <c r="I48" s="336">
        <f>(B5*B48*'BASE PAX'!G23)+(B6*B48*'BASE PAX'!H23)</f>
        <v>0</v>
      </c>
      <c r="J48" s="330"/>
      <c r="K48" s="331"/>
    </row>
    <row r="49" spans="1:16" ht="29" customHeight="1" thickBot="1">
      <c r="A49" s="161" t="s">
        <v>72</v>
      </c>
      <c r="B49" s="157"/>
      <c r="C49" s="158"/>
      <c r="D49" s="152"/>
      <c r="E49" s="300">
        <f>SUM(E31:E48)</f>
        <v>0</v>
      </c>
      <c r="F49" s="104">
        <f>SUM(F31:F48)</f>
        <v>0</v>
      </c>
      <c r="G49" s="327">
        <f>SUM(G31:G48)</f>
        <v>0</v>
      </c>
      <c r="H49" s="339" t="s">
        <v>55</v>
      </c>
      <c r="I49" s="343">
        <f>I31+I47+I48</f>
        <v>0</v>
      </c>
      <c r="J49" s="361">
        <f>I49+E49</f>
        <v>0</v>
      </c>
      <c r="K49" s="345" t="s">
        <v>160</v>
      </c>
    </row>
    <row r="50" spans="1:16" s="8" customFormat="1" ht="11" customHeight="1" thickBot="1">
      <c r="A50" s="16"/>
      <c r="B50" s="56"/>
      <c r="C50" s="105"/>
      <c r="D50" s="102"/>
      <c r="E50" s="102"/>
      <c r="F50" s="7"/>
      <c r="G50" s="17"/>
      <c r="H50" s="7"/>
      <c r="I50" s="295"/>
      <c r="J50" s="7"/>
      <c r="K50" s="7"/>
      <c r="L50" s="7"/>
      <c r="M50" s="7"/>
      <c r="N50" s="7"/>
      <c r="O50" s="7"/>
      <c r="P50" s="7"/>
    </row>
    <row r="51" spans="1:16" ht="34" customHeight="1" thickBot="1">
      <c r="A51" s="21" t="s">
        <v>161</v>
      </c>
      <c r="B51" s="207" t="s">
        <v>52</v>
      </c>
      <c r="C51" s="208" t="s">
        <v>53</v>
      </c>
      <c r="D51" s="209" t="s">
        <v>54</v>
      </c>
      <c r="E51" s="172" t="s">
        <v>55</v>
      </c>
      <c r="F51" s="142" t="s">
        <v>158</v>
      </c>
      <c r="G51" s="182" t="s">
        <v>159</v>
      </c>
    </row>
    <row r="52" spans="1:16" ht="20" customHeight="1">
      <c r="A52" s="76" t="str">
        <f>'BASE PAX'!A27</f>
        <v>SUCOS</v>
      </c>
      <c r="B52" s="205">
        <f>'BASE PAX'!B27</f>
        <v>0</v>
      </c>
      <c r="C52" s="193">
        <f>'BASE PAX'!C27</f>
        <v>0</v>
      </c>
      <c r="D52" s="206">
        <f t="shared" ref="D52:D58" si="6">(C52*0.2)+C52</f>
        <v>0</v>
      </c>
      <c r="E52" s="174">
        <f t="shared" ref="E52:E58" si="7">D52*B52</f>
        <v>0</v>
      </c>
      <c r="F52" s="173">
        <f t="shared" ref="F52:F58" si="8">B52*C52</f>
        <v>0</v>
      </c>
      <c r="G52" s="183">
        <f t="shared" ref="G52:G59" si="9">E52-F52</f>
        <v>0</v>
      </c>
    </row>
    <row r="53" spans="1:16" ht="20" customHeight="1">
      <c r="A53" s="76" t="str">
        <f>'BASE PAX'!A28</f>
        <v>SUCOS</v>
      </c>
      <c r="B53" s="205">
        <f>'BASE PAX'!B28</f>
        <v>0</v>
      </c>
      <c r="C53" s="175">
        <f>'BASE PAX'!C28</f>
        <v>0</v>
      </c>
      <c r="D53" s="176">
        <f t="shared" si="6"/>
        <v>0</v>
      </c>
      <c r="E53" s="174">
        <f t="shared" si="7"/>
        <v>0</v>
      </c>
      <c r="F53" s="173">
        <f t="shared" si="8"/>
        <v>0</v>
      </c>
      <c r="G53" s="183">
        <f t="shared" si="9"/>
        <v>0</v>
      </c>
    </row>
    <row r="54" spans="1:16" ht="20" customHeight="1">
      <c r="A54" s="87" t="str">
        <f>'BASE PAX'!A29</f>
        <v>CERVEJAS</v>
      </c>
      <c r="B54" s="205">
        <f>'BASE PAX'!B29</f>
        <v>0</v>
      </c>
      <c r="C54" s="175">
        <f>'BASE PAX'!C29</f>
        <v>2000</v>
      </c>
      <c r="D54" s="176">
        <f t="shared" si="6"/>
        <v>2400</v>
      </c>
      <c r="E54" s="174">
        <f t="shared" si="7"/>
        <v>0</v>
      </c>
      <c r="F54" s="173">
        <f t="shared" si="8"/>
        <v>0</v>
      </c>
      <c r="G54" s="183">
        <f t="shared" si="9"/>
        <v>0</v>
      </c>
    </row>
    <row r="55" spans="1:16" ht="20" customHeight="1">
      <c r="A55" s="87" t="str">
        <f>'BASE PAX'!A30</f>
        <v>VINHOS</v>
      </c>
      <c r="B55" s="205">
        <f>'BASE PAX'!B30</f>
        <v>0</v>
      </c>
      <c r="C55" s="175">
        <f>'BASE PAX'!C30</f>
        <v>8000</v>
      </c>
      <c r="D55" s="176">
        <f t="shared" si="6"/>
        <v>9600</v>
      </c>
      <c r="E55" s="174">
        <f t="shared" si="7"/>
        <v>0</v>
      </c>
      <c r="F55" s="173">
        <f t="shared" si="8"/>
        <v>0</v>
      </c>
      <c r="G55" s="183">
        <f t="shared" si="9"/>
        <v>0</v>
      </c>
    </row>
    <row r="56" spans="1:16" ht="20" customHeight="1">
      <c r="A56" s="87" t="str">
        <f>'BASE PAX'!A31</f>
        <v>DRINKS</v>
      </c>
      <c r="B56" s="205">
        <f>'BASE PAX'!B31</f>
        <v>0</v>
      </c>
      <c r="C56" s="175">
        <f>'BASE PAX'!C31</f>
        <v>15000</v>
      </c>
      <c r="D56" s="176">
        <f t="shared" si="6"/>
        <v>18000</v>
      </c>
      <c r="E56" s="174">
        <f t="shared" si="7"/>
        <v>0</v>
      </c>
      <c r="F56" s="173">
        <f t="shared" si="8"/>
        <v>0</v>
      </c>
      <c r="G56" s="183">
        <f t="shared" si="9"/>
        <v>0</v>
      </c>
    </row>
    <row r="57" spans="1:16" ht="20" customHeight="1">
      <c r="A57" s="87" t="str">
        <f>'BASE PAX'!A32</f>
        <v>COOLER</v>
      </c>
      <c r="B57" s="205">
        <f>'BASE PAX'!B32</f>
        <v>0</v>
      </c>
      <c r="C57" s="175">
        <f>'BASE PAX'!C32</f>
        <v>5000</v>
      </c>
      <c r="D57" s="176">
        <f t="shared" si="6"/>
        <v>6000</v>
      </c>
      <c r="E57" s="174">
        <f t="shared" si="7"/>
        <v>0</v>
      </c>
      <c r="F57" s="173">
        <f t="shared" si="8"/>
        <v>0</v>
      </c>
      <c r="G57" s="183">
        <f t="shared" si="9"/>
        <v>0</v>
      </c>
    </row>
    <row r="58" spans="1:16" ht="20" customHeight="1" thickBot="1">
      <c r="A58" s="180">
        <f>'BASE PAX'!A33</f>
        <v>0</v>
      </c>
      <c r="B58" s="205">
        <f>'BASE PAX'!B33</f>
        <v>0</v>
      </c>
      <c r="C58" s="178">
        <f>'BASE PAX'!C33</f>
        <v>0</v>
      </c>
      <c r="D58" s="179">
        <f t="shared" si="6"/>
        <v>0</v>
      </c>
      <c r="E58" s="184">
        <f t="shared" si="7"/>
        <v>0</v>
      </c>
      <c r="F58" s="185">
        <f t="shared" si="8"/>
        <v>0</v>
      </c>
      <c r="G58" s="186">
        <f t="shared" si="9"/>
        <v>0</v>
      </c>
    </row>
    <row r="59" spans="1:16" ht="48" customHeight="1" thickBot="1">
      <c r="A59" s="21" t="s">
        <v>79</v>
      </c>
      <c r="B59" s="77"/>
      <c r="C59" s="126"/>
      <c r="D59" s="181"/>
      <c r="E59" s="127">
        <f>SUM(E52:E58)</f>
        <v>0</v>
      </c>
      <c r="F59" s="188">
        <f>SUM(F52:F58)</f>
        <v>0</v>
      </c>
      <c r="G59" s="189">
        <f t="shared" si="9"/>
        <v>0</v>
      </c>
    </row>
    <row r="60" spans="1:16" s="8" customFormat="1" ht="11" customHeight="1" thickBot="1">
      <c r="A60" s="16"/>
      <c r="B60" s="56"/>
      <c r="C60" s="105"/>
      <c r="D60" s="102"/>
      <c r="E60" s="102"/>
      <c r="F60" s="7"/>
      <c r="G60" s="17"/>
      <c r="H60" s="7"/>
      <c r="I60" s="7"/>
      <c r="J60" s="7"/>
      <c r="K60" s="7"/>
      <c r="L60" s="7"/>
      <c r="M60" s="7"/>
      <c r="N60" s="7"/>
      <c r="O60" s="7"/>
      <c r="P60" s="7"/>
    </row>
    <row r="61" spans="1:16" s="10" customFormat="1" ht="42" customHeight="1" thickBot="1">
      <c r="A61" s="226" t="s">
        <v>18</v>
      </c>
      <c r="B61" s="227" t="s">
        <v>52</v>
      </c>
      <c r="C61" s="228" t="s">
        <v>53</v>
      </c>
      <c r="D61" s="229" t="s">
        <v>54</v>
      </c>
      <c r="E61" s="229" t="s">
        <v>55</v>
      </c>
      <c r="F61" s="228" t="s">
        <v>158</v>
      </c>
      <c r="G61" s="230" t="s">
        <v>159</v>
      </c>
    </row>
    <row r="62" spans="1:16" ht="20" customHeight="1">
      <c r="A62" s="223" t="str">
        <f>'BASE PAX'!A37</f>
        <v>HOTTUBE</v>
      </c>
      <c r="B62" s="224">
        <f>'BASE PAX'!B37</f>
        <v>0</v>
      </c>
      <c r="C62" s="195">
        <f>'BASE PAX'!C37</f>
        <v>12000</v>
      </c>
      <c r="D62" s="225">
        <f t="shared" ref="D62:D71" si="10">C62*0.2+C62</f>
        <v>14400</v>
      </c>
      <c r="E62" s="225">
        <f t="shared" ref="E62:E71" si="11">D62*B62</f>
        <v>0</v>
      </c>
      <c r="F62" s="195">
        <f t="shared" ref="F62:F72" si="12">B62*C62</f>
        <v>0</v>
      </c>
      <c r="G62" s="194">
        <f t="shared" ref="G62:G72" si="13">E62-F62</f>
        <v>0</v>
      </c>
    </row>
    <row r="63" spans="1:16" ht="20" customHeight="1">
      <c r="A63" s="219" t="str">
        <f>'BASE PAX'!A38</f>
        <v>TREKKING 1/2 DAY</v>
      </c>
      <c r="B63" s="224">
        <f>'BASE PAX'!B38</f>
        <v>0</v>
      </c>
      <c r="C63" s="196">
        <f>'BASE PAX'!C38</f>
        <v>60000</v>
      </c>
      <c r="D63" s="220">
        <f t="shared" si="10"/>
        <v>72000</v>
      </c>
      <c r="E63" s="220">
        <f t="shared" si="11"/>
        <v>0</v>
      </c>
      <c r="F63" s="196">
        <f t="shared" si="12"/>
        <v>0</v>
      </c>
      <c r="G63" s="190">
        <f t="shared" si="13"/>
        <v>0</v>
      </c>
    </row>
    <row r="64" spans="1:16" ht="20" customHeight="1">
      <c r="A64" s="219" t="str">
        <f>'BASE PAX'!A39</f>
        <v>TREKKING FUK DAY</v>
      </c>
      <c r="B64" s="224">
        <f>'BASE PAX'!B39</f>
        <v>0</v>
      </c>
      <c r="C64" s="196">
        <f>'BASE PAX'!C39</f>
        <v>90000</v>
      </c>
      <c r="D64" s="220">
        <f t="shared" si="10"/>
        <v>108000</v>
      </c>
      <c r="E64" s="220">
        <f t="shared" si="11"/>
        <v>0</v>
      </c>
      <c r="F64" s="196">
        <f t="shared" si="12"/>
        <v>0</v>
      </c>
      <c r="G64" s="190">
        <f t="shared" si="13"/>
        <v>0</v>
      </c>
    </row>
    <row r="65" spans="1:16" ht="20" customHeight="1">
      <c r="A65" s="219" t="str">
        <f>'BASE PAX'!A40</f>
        <v>FLOTADA FAMILIAR</v>
      </c>
      <c r="B65" s="224">
        <f>'BASE PAX'!B40</f>
        <v>0</v>
      </c>
      <c r="C65" s="196">
        <f>'BASE PAX'!C40</f>
        <v>60000</v>
      </c>
      <c r="D65" s="220">
        <f t="shared" si="10"/>
        <v>72000</v>
      </c>
      <c r="E65" s="220">
        <f t="shared" si="11"/>
        <v>0</v>
      </c>
      <c r="F65" s="196">
        <f t="shared" si="12"/>
        <v>0</v>
      </c>
      <c r="G65" s="190">
        <f t="shared" si="13"/>
        <v>0</v>
      </c>
    </row>
    <row r="66" spans="1:16" ht="20" customHeight="1">
      <c r="A66" s="219" t="str">
        <f>'BASE PAX'!A41</f>
        <v>RAFTING 1/2 DAY</v>
      </c>
      <c r="B66" s="224">
        <f>'BASE PAX'!B41</f>
        <v>0</v>
      </c>
      <c r="C66" s="196">
        <f>'BASE PAX'!C41</f>
        <v>75000</v>
      </c>
      <c r="D66" s="220">
        <f t="shared" si="10"/>
        <v>90000</v>
      </c>
      <c r="E66" s="220">
        <f t="shared" si="11"/>
        <v>0</v>
      </c>
      <c r="F66" s="196">
        <f t="shared" si="12"/>
        <v>0</v>
      </c>
      <c r="G66" s="190">
        <f t="shared" si="13"/>
        <v>0</v>
      </c>
    </row>
    <row r="67" spans="1:16" ht="20" customHeight="1">
      <c r="A67" s="219" t="str">
        <f>'BASE PAX'!A42</f>
        <v>RAFTING FULL DAY</v>
      </c>
      <c r="B67" s="224">
        <f>'BASE PAX'!B42</f>
        <v>0</v>
      </c>
      <c r="C67" s="196">
        <f>'BASE PAX'!C42</f>
        <v>110000</v>
      </c>
      <c r="D67" s="220">
        <f t="shared" si="10"/>
        <v>132000</v>
      </c>
      <c r="E67" s="220">
        <f t="shared" si="11"/>
        <v>0</v>
      </c>
      <c r="F67" s="196">
        <f t="shared" si="12"/>
        <v>0</v>
      </c>
      <c r="G67" s="190">
        <f t="shared" si="13"/>
        <v>0</v>
      </c>
    </row>
    <row r="68" spans="1:16" ht="20" customHeight="1">
      <c r="A68" s="219" t="str">
        <f>'BASE PAX'!A43</f>
        <v>CABALGADA 1/2 DAy</v>
      </c>
      <c r="B68" s="224">
        <f>'BASE PAX'!B43</f>
        <v>0</v>
      </c>
      <c r="C68" s="196">
        <f>'BASE PAX'!C43</f>
        <v>90000</v>
      </c>
      <c r="D68" s="220">
        <f t="shared" si="10"/>
        <v>108000</v>
      </c>
      <c r="E68" s="220">
        <f t="shared" si="11"/>
        <v>0</v>
      </c>
      <c r="F68" s="196">
        <f t="shared" si="12"/>
        <v>0</v>
      </c>
      <c r="G68" s="190">
        <f t="shared" si="13"/>
        <v>0</v>
      </c>
    </row>
    <row r="69" spans="1:16" ht="20" customHeight="1">
      <c r="A69" s="219" t="str">
        <f>'BASE PAX'!A44</f>
        <v>CABALGADA FULL DAY</v>
      </c>
      <c r="B69" s="224">
        <f>'BASE PAX'!B44</f>
        <v>0</v>
      </c>
      <c r="C69" s="196">
        <f>'BASE PAX'!C44</f>
        <v>140000</v>
      </c>
      <c r="D69" s="220">
        <f t="shared" si="10"/>
        <v>168000</v>
      </c>
      <c r="E69" s="220">
        <f t="shared" si="11"/>
        <v>0</v>
      </c>
      <c r="F69" s="196">
        <f t="shared" si="12"/>
        <v>0</v>
      </c>
      <c r="G69" s="190">
        <f t="shared" si="13"/>
        <v>0</v>
      </c>
    </row>
    <row r="70" spans="1:16" ht="20" customHeight="1">
      <c r="A70" s="219" t="str">
        <f>'BASE PAX'!A45</f>
        <v>LANCHA YELCHO</v>
      </c>
      <c r="B70" s="224">
        <f>'BASE PAX'!B45</f>
        <v>0</v>
      </c>
      <c r="C70" s="196">
        <f>'BASE PAX'!C45</f>
        <v>120000</v>
      </c>
      <c r="D70" s="220">
        <f t="shared" si="10"/>
        <v>144000</v>
      </c>
      <c r="E70" s="220">
        <f t="shared" si="11"/>
        <v>0</v>
      </c>
      <c r="F70" s="196">
        <f t="shared" si="12"/>
        <v>0</v>
      </c>
      <c r="G70" s="190">
        <f t="shared" si="13"/>
        <v>0</v>
      </c>
    </row>
    <row r="71" spans="1:16" ht="20" customHeight="1" thickBot="1">
      <c r="A71" s="221" t="str">
        <f>'BASE PAX'!A46</f>
        <v>RECREACAO INFANTIL 3HS</v>
      </c>
      <c r="B71" s="224">
        <f>'BASE PAX'!B46</f>
        <v>0</v>
      </c>
      <c r="C71" s="197">
        <f>'BASE PAX'!C46</f>
        <v>30000</v>
      </c>
      <c r="D71" s="220">
        <f t="shared" si="10"/>
        <v>36000</v>
      </c>
      <c r="E71" s="222">
        <f t="shared" si="11"/>
        <v>0</v>
      </c>
      <c r="F71" s="197">
        <f t="shared" si="12"/>
        <v>0</v>
      </c>
      <c r="G71" s="192">
        <f t="shared" si="13"/>
        <v>0</v>
      </c>
    </row>
    <row r="72" spans="1:16" ht="48" customHeight="1" thickBot="1">
      <c r="A72" s="22" t="s">
        <v>84</v>
      </c>
      <c r="B72" s="79"/>
      <c r="C72" s="128"/>
      <c r="D72" s="128"/>
      <c r="E72" s="198">
        <f>SUM(E62:E71)</f>
        <v>0</v>
      </c>
      <c r="F72" s="204">
        <f t="shared" si="12"/>
        <v>0</v>
      </c>
      <c r="G72" s="203">
        <f t="shared" si="13"/>
        <v>0</v>
      </c>
    </row>
    <row r="73" spans="1:16" ht="37" customHeight="1" thickBot="1"/>
    <row r="74" spans="1:16" s="8" customFormat="1" ht="36" customHeight="1" thickBot="1">
      <c r="A74" s="23" t="s">
        <v>116</v>
      </c>
      <c r="B74" s="214" t="s">
        <v>52</v>
      </c>
      <c r="C74" s="215" t="s">
        <v>53</v>
      </c>
      <c r="D74" s="153" t="s">
        <v>54</v>
      </c>
      <c r="E74" s="153" t="s">
        <v>55</v>
      </c>
      <c r="F74" s="143" t="s">
        <v>162</v>
      </c>
      <c r="G74" s="147" t="s">
        <v>159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 ht="20" customHeight="1">
      <c r="A75" s="88" t="str">
        <f>'BASE PAX'!A50</f>
        <v>TRANSFER AEROPORTO CHEGADA</v>
      </c>
      <c r="B75" s="211">
        <f>'BASE PAX'!B50</f>
        <v>0</v>
      </c>
      <c r="C75" s="213">
        <v>50000</v>
      </c>
      <c r="D75" s="231">
        <f>C75*0.2+C75</f>
        <v>60000</v>
      </c>
      <c r="E75" s="231">
        <f>D75*B75</f>
        <v>0</v>
      </c>
      <c r="F75" s="210">
        <f>B75*C75</f>
        <v>0</v>
      </c>
      <c r="G75" s="199">
        <f t="shared" ref="G75:G80" si="14">E75-F75</f>
        <v>0</v>
      </c>
    </row>
    <row r="76" spans="1:16" ht="20" customHeight="1">
      <c r="A76" s="88" t="str">
        <f>'BASE PAX'!A51</f>
        <v>TRANSFER AEROPORTO PARTIDA</v>
      </c>
      <c r="B76" s="211">
        <f>'BASE PAX'!B51</f>
        <v>0</v>
      </c>
      <c r="C76" s="212">
        <f>'BASE PAX'!C51</f>
        <v>80000</v>
      </c>
      <c r="D76" s="232">
        <f>C76*0.2+C76</f>
        <v>96000</v>
      </c>
      <c r="E76" s="232">
        <f>D76*B76</f>
        <v>0</v>
      </c>
      <c r="F76" s="210">
        <f>B76*C76</f>
        <v>0</v>
      </c>
      <c r="G76" s="200">
        <f t="shared" si="14"/>
        <v>0</v>
      </c>
    </row>
    <row r="77" spans="1:16" ht="20" customHeight="1">
      <c r="A77" s="88" t="str">
        <f>'BASE PAX'!A52</f>
        <v>TRANSFERS INTERNO</v>
      </c>
      <c r="B77" s="211">
        <f>'BASE PAX'!B52</f>
        <v>0</v>
      </c>
      <c r="C77" s="212">
        <f>'BASE PAX'!C52</f>
        <v>18000</v>
      </c>
      <c r="D77" s="232">
        <f>C77*0.2+C77</f>
        <v>21600</v>
      </c>
      <c r="E77" s="232">
        <f>D77*B77</f>
        <v>0</v>
      </c>
      <c r="F77" s="210">
        <f>B77*C77</f>
        <v>0</v>
      </c>
      <c r="G77" s="200">
        <f t="shared" si="14"/>
        <v>0</v>
      </c>
    </row>
    <row r="78" spans="1:16" ht="20" customHeight="1">
      <c r="A78" s="88" t="str">
        <f>'BASE PAX'!A53</f>
        <v>EXTRAS 1</v>
      </c>
      <c r="B78" s="211">
        <f>'BASE PAX'!B53</f>
        <v>0</v>
      </c>
      <c r="C78" s="212">
        <f>'BASE PAX'!C53</f>
        <v>150000</v>
      </c>
      <c r="D78" s="232">
        <f>C78*0.2+C78</f>
        <v>180000</v>
      </c>
      <c r="E78" s="232">
        <f>D78*B78</f>
        <v>0</v>
      </c>
      <c r="F78" s="210">
        <f>B78*C78</f>
        <v>0</v>
      </c>
      <c r="G78" s="200">
        <f t="shared" si="14"/>
        <v>0</v>
      </c>
    </row>
    <row r="79" spans="1:16" ht="20" customHeight="1" thickBot="1">
      <c r="A79" s="218" t="str">
        <f>'BASE PAX'!A54</f>
        <v>EXTRAS 2</v>
      </c>
      <c r="B79" s="211">
        <f>'BASE PAX'!B54</f>
        <v>0</v>
      </c>
      <c r="C79" s="216">
        <f>'BASE PAX'!C54</f>
        <v>0</v>
      </c>
      <c r="D79" s="233">
        <f>C79*0.2+C79</f>
        <v>0</v>
      </c>
      <c r="E79" s="233">
        <f>D79*B79</f>
        <v>0</v>
      </c>
      <c r="F79" s="217">
        <f>B79*C79</f>
        <v>0</v>
      </c>
      <c r="G79" s="201">
        <f t="shared" si="14"/>
        <v>0</v>
      </c>
    </row>
    <row r="80" spans="1:16" ht="44" customHeight="1" thickBot="1">
      <c r="A80" s="23" t="s">
        <v>89</v>
      </c>
      <c r="B80" s="80"/>
      <c r="C80" s="130"/>
      <c r="D80" s="130"/>
      <c r="E80" s="131">
        <f>SUM(E75:E79)</f>
        <v>0</v>
      </c>
      <c r="F80" s="131">
        <f>SUM(F75:F79)</f>
        <v>0</v>
      </c>
      <c r="G80" s="203">
        <f t="shared" si="14"/>
        <v>0</v>
      </c>
    </row>
    <row r="81" spans="1:16" s="8" customFormat="1" ht="11" customHeight="1" thickBot="1">
      <c r="A81" s="16"/>
      <c r="B81" s="56"/>
      <c r="C81" s="105"/>
      <c r="D81" s="102"/>
      <c r="E81" s="102"/>
      <c r="F81" s="7"/>
      <c r="G81" s="17"/>
      <c r="H81" s="7"/>
      <c r="I81" s="7"/>
      <c r="J81" s="7"/>
      <c r="K81" s="7"/>
      <c r="L81" s="7"/>
      <c r="M81" s="7"/>
      <c r="N81" s="7"/>
      <c r="O81" s="7"/>
      <c r="P81" s="7"/>
    </row>
    <row r="82" spans="1:16" s="9" customFormat="1" ht="42" customHeight="1" thickBot="1">
      <c r="A82" s="246" t="s">
        <v>117</v>
      </c>
      <c r="B82" s="247" t="s">
        <v>52</v>
      </c>
      <c r="C82" s="248" t="s">
        <v>53</v>
      </c>
      <c r="D82" s="249" t="s">
        <v>54</v>
      </c>
      <c r="E82" s="249" t="s">
        <v>55</v>
      </c>
      <c r="F82" s="248" t="s">
        <v>162</v>
      </c>
      <c r="G82" s="147" t="s">
        <v>159</v>
      </c>
    </row>
    <row r="83" spans="1:16" ht="20" customHeight="1">
      <c r="A83" s="81" t="str">
        <f>'BASE PAX'!A58</f>
        <v>WS INSTRUCTOR</v>
      </c>
      <c r="B83" s="238">
        <f>'BASE PAX'!B58</f>
        <v>0</v>
      </c>
      <c r="C83" s="239">
        <f>'BASE PAX'!C58</f>
        <v>3415000</v>
      </c>
      <c r="D83" s="240">
        <f>(C83*0.15)+C83</f>
        <v>3927250</v>
      </c>
      <c r="E83" s="240">
        <f>D83*B83</f>
        <v>0</v>
      </c>
      <c r="F83" s="234">
        <f>B83*C83</f>
        <v>0</v>
      </c>
      <c r="G83" s="199">
        <f>E83-F83</f>
        <v>0</v>
      </c>
    </row>
    <row r="84" spans="1:16" ht="20" customHeight="1">
      <c r="A84" s="81" t="str">
        <f>'BASE PAX'!A59</f>
        <v>PRODUCER FEE</v>
      </c>
      <c r="B84" s="235">
        <f>'BASE PAX'!B59</f>
        <v>0</v>
      </c>
      <c r="C84" s="236">
        <f>'BASE PAX'!C59</f>
        <v>180000</v>
      </c>
      <c r="D84" s="237">
        <f>(C84*0.15)+C84</f>
        <v>207000</v>
      </c>
      <c r="E84" s="237">
        <f>D84*B84</f>
        <v>0</v>
      </c>
      <c r="F84" s="234">
        <f>B84*C84</f>
        <v>0</v>
      </c>
      <c r="G84" s="200">
        <f>E84-F84</f>
        <v>0</v>
      </c>
    </row>
    <row r="85" spans="1:16" ht="20" customHeight="1" thickBot="1">
      <c r="A85" s="241">
        <f>'BASE PAX'!A60</f>
        <v>0</v>
      </c>
      <c r="B85" s="242">
        <f>'BASE PAX'!B60</f>
        <v>0</v>
      </c>
      <c r="C85" s="243">
        <f>'BASE PAX'!C60</f>
        <v>20000</v>
      </c>
      <c r="D85" s="244">
        <f>(C85*0.15)+C85</f>
        <v>23000</v>
      </c>
      <c r="E85" s="244">
        <f>D85*B85</f>
        <v>0</v>
      </c>
      <c r="F85" s="245">
        <f>B85*C85</f>
        <v>0</v>
      </c>
      <c r="G85" s="201">
        <f>E85-F85</f>
        <v>0</v>
      </c>
    </row>
    <row r="86" spans="1:16" ht="41" customHeight="1" thickBot="1">
      <c r="A86" s="24" t="s">
        <v>163</v>
      </c>
      <c r="B86" s="82"/>
      <c r="C86" s="132"/>
      <c r="D86" s="132"/>
      <c r="E86" s="133">
        <f>SUM(E83:E85)</f>
        <v>0</v>
      </c>
      <c r="F86" s="133">
        <f>SUM(F81:F85)</f>
        <v>0</v>
      </c>
      <c r="G86" s="203">
        <f>E86-F86</f>
        <v>0</v>
      </c>
    </row>
    <row r="87" spans="1:16" s="8" customFormat="1" ht="11" customHeight="1" thickBot="1">
      <c r="A87" s="16"/>
      <c r="B87" s="56"/>
      <c r="C87" s="105"/>
      <c r="D87" s="102"/>
      <c r="E87" s="102"/>
      <c r="F87" s="7"/>
      <c r="G87" s="17"/>
      <c r="H87" s="7"/>
      <c r="I87" s="7"/>
      <c r="J87" s="7"/>
      <c r="K87" s="7"/>
      <c r="L87" s="7"/>
      <c r="M87" s="7"/>
      <c r="N87" s="7"/>
      <c r="O87" s="7"/>
      <c r="P87" s="7"/>
    </row>
    <row r="88" spans="1:16" ht="38" customHeight="1" thickBot="1">
      <c r="A88" s="258" t="s">
        <v>164</v>
      </c>
      <c r="B88" s="259" t="s">
        <v>92</v>
      </c>
      <c r="C88" s="250" t="s">
        <v>53</v>
      </c>
      <c r="D88" s="260" t="s">
        <v>54</v>
      </c>
      <c r="E88" s="260" t="s">
        <v>55</v>
      </c>
      <c r="F88" s="250"/>
      <c r="G88" s="147" t="s">
        <v>159</v>
      </c>
    </row>
    <row r="89" spans="1:16" ht="20" customHeight="1">
      <c r="A89" s="255" t="str">
        <f>'BASE PAX'!A64</f>
        <v>COORDENAÇÃO PRODUÇÃO</v>
      </c>
      <c r="B89" s="256">
        <f>'BASE PAX'!B64</f>
        <v>0</v>
      </c>
      <c r="C89" s="257">
        <f>'BASE PAX'!C64</f>
        <v>50000</v>
      </c>
      <c r="D89" s="257">
        <f>'BASE PAX'!D64</f>
        <v>0</v>
      </c>
      <c r="E89" s="121">
        <f>D89*B89</f>
        <v>0</v>
      </c>
      <c r="F89" s="257"/>
      <c r="G89" s="199">
        <f t="shared" ref="G89:G94" si="15">E89*0.2</f>
        <v>0</v>
      </c>
    </row>
    <row r="90" spans="1:16" ht="20" customHeight="1">
      <c r="A90" s="251" t="str">
        <f>'BASE PAX'!A65</f>
        <v>EXTRA MÃO DE OBRA</v>
      </c>
      <c r="B90" s="256">
        <f>'BASE PAX'!B65</f>
        <v>0</v>
      </c>
      <c r="C90" s="253">
        <f>'BASE PAX'!C65</f>
        <v>50000</v>
      </c>
      <c r="D90" s="253">
        <f>'BASE PAX'!D65</f>
        <v>0</v>
      </c>
      <c r="E90" s="121">
        <f t="shared" ref="E90:E94" si="16">D90*B90</f>
        <v>0</v>
      </c>
      <c r="F90" s="253"/>
      <c r="G90" s="199">
        <f t="shared" si="15"/>
        <v>0</v>
      </c>
    </row>
    <row r="91" spans="1:16" ht="20" customHeight="1">
      <c r="A91" s="251" t="str">
        <f>'BASE PAX'!A66</f>
        <v>TAXA LIMPEZA CHECK IN / CHECKOUT</v>
      </c>
      <c r="B91" s="252">
        <f>'BASE PAX'!B66</f>
        <v>0</v>
      </c>
      <c r="C91" s="253">
        <f>'BASE PAX'!C66</f>
        <v>40000</v>
      </c>
      <c r="D91" s="253">
        <f>'BASE PAX'!D66</f>
        <v>0</v>
      </c>
      <c r="E91" s="121">
        <f t="shared" si="16"/>
        <v>0</v>
      </c>
      <c r="F91" s="253"/>
      <c r="G91" s="199">
        <f t="shared" si="15"/>
        <v>0</v>
      </c>
    </row>
    <row r="92" spans="1:16" ht="20" customHeight="1">
      <c r="A92" s="251" t="str">
        <f>'BASE PAX'!A67</f>
        <v>TAXA LIMPEZA DIARIA</v>
      </c>
      <c r="B92" s="254">
        <f>'BASE PAX'!B67</f>
        <v>0</v>
      </c>
      <c r="C92" s="253">
        <f>'BASE PAX'!C67</f>
        <v>30000</v>
      </c>
      <c r="D92" s="253">
        <f>'BASE PAX'!D67</f>
        <v>0</v>
      </c>
      <c r="E92" s="121">
        <f t="shared" si="16"/>
        <v>0</v>
      </c>
      <c r="F92" s="253"/>
      <c r="G92" s="199">
        <f t="shared" si="15"/>
        <v>0</v>
      </c>
    </row>
    <row r="93" spans="1:16" ht="20" customHeight="1">
      <c r="A93" s="251" t="str">
        <f>'BASE PAX'!A68</f>
        <v>SOUVENIR</v>
      </c>
      <c r="B93" s="254">
        <f>'BASE PAX'!B68</f>
        <v>0</v>
      </c>
      <c r="C93" s="253">
        <f>'BASE PAX'!C68</f>
        <v>15000</v>
      </c>
      <c r="D93" s="253">
        <f>'BASE PAX'!D68</f>
        <v>0</v>
      </c>
      <c r="E93" s="121">
        <f t="shared" si="16"/>
        <v>0</v>
      </c>
      <c r="F93" s="253"/>
      <c r="G93" s="199">
        <f t="shared" si="15"/>
        <v>0</v>
      </c>
    </row>
    <row r="94" spans="1:16" ht="20" customHeight="1" thickBot="1">
      <c r="A94" s="251" t="str">
        <f>'BASE PAX'!A69</f>
        <v>ASSISTENTE COORDENAÇÃO</v>
      </c>
      <c r="B94" s="256">
        <f>'BASE PAX'!B69</f>
        <v>0</v>
      </c>
      <c r="C94" s="253">
        <f>'BASE PAX'!C69</f>
        <v>30000</v>
      </c>
      <c r="D94" s="253">
        <f>'BASE PAX'!D69</f>
        <v>0</v>
      </c>
      <c r="E94" s="121">
        <f t="shared" si="16"/>
        <v>0</v>
      </c>
      <c r="F94" s="253"/>
      <c r="G94" s="199">
        <f t="shared" si="15"/>
        <v>0</v>
      </c>
    </row>
    <row r="95" spans="1:16" ht="41" customHeight="1" thickBot="1">
      <c r="A95" s="25" t="s">
        <v>101</v>
      </c>
      <c r="B95" s="83"/>
      <c r="C95" s="134"/>
      <c r="D95" s="134"/>
      <c r="E95" s="135">
        <f>SUM(E89:E94)</f>
        <v>0</v>
      </c>
      <c r="F95" s="135"/>
      <c r="G95" s="203">
        <f>SUM(G89:G94)</f>
        <v>0</v>
      </c>
    </row>
    <row r="96" spans="1:16" s="8" customFormat="1" ht="11" customHeight="1" thickBot="1">
      <c r="A96" s="16"/>
      <c r="B96" s="56"/>
      <c r="C96" s="105"/>
      <c r="D96" s="102"/>
      <c r="E96" s="102"/>
      <c r="F96" s="7"/>
      <c r="G96" s="17"/>
      <c r="H96" s="7"/>
      <c r="I96" s="7"/>
      <c r="J96" s="7"/>
      <c r="K96" s="7"/>
      <c r="L96" s="7"/>
      <c r="M96" s="7"/>
      <c r="N96" s="7"/>
      <c r="O96" s="7"/>
      <c r="P96" s="7"/>
    </row>
    <row r="97" spans="1:16" ht="38" customHeight="1" thickBot="1">
      <c r="A97" s="26" t="s">
        <v>165</v>
      </c>
      <c r="B97" s="27" t="s">
        <v>92</v>
      </c>
      <c r="C97" s="136" t="s">
        <v>53</v>
      </c>
      <c r="D97" s="136" t="s">
        <v>54</v>
      </c>
      <c r="E97" s="137" t="s">
        <v>55</v>
      </c>
      <c r="F97" s="20"/>
      <c r="G97" s="20"/>
    </row>
    <row r="98" spans="1:16" ht="23" customHeight="1" thickBot="1">
      <c r="A98" s="84" t="str">
        <f>'BASE PAX'!A73</f>
        <v xml:space="preserve">QUINCHO DAY USE / CABIN </v>
      </c>
      <c r="B98" s="279">
        <f>'BASE PAX'!B73</f>
        <v>0</v>
      </c>
      <c r="C98" s="138">
        <f>'BASE PAX'!C73</f>
        <v>15000</v>
      </c>
      <c r="D98" s="138">
        <f>C98+(C98*0.2)</f>
        <v>18000</v>
      </c>
      <c r="E98" s="139">
        <f>D98*B98</f>
        <v>0</v>
      </c>
      <c r="F98" s="19"/>
      <c r="G98" s="17"/>
    </row>
    <row r="99" spans="1:16" ht="42" customHeight="1" thickBot="1">
      <c r="A99" s="26" t="s">
        <v>104</v>
      </c>
      <c r="B99" s="86"/>
      <c r="C99" s="140"/>
      <c r="D99" s="140"/>
      <c r="E99" s="141">
        <f>E98</f>
        <v>0</v>
      </c>
    </row>
    <row r="100" spans="1:16" s="6" customFormat="1" ht="20" customHeight="1">
      <c r="A100" s="28"/>
      <c r="B100" s="52"/>
      <c r="C100" s="11"/>
      <c r="D100" s="11"/>
      <c r="E100" s="11"/>
      <c r="F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9" customHeight="1"/>
  </sheetData>
  <sheetProtection sheet="1" objects="1" scenarios="1"/>
  <mergeCells count="17">
    <mergeCell ref="A11:A12"/>
    <mergeCell ref="A28:D28"/>
    <mergeCell ref="B5:C5"/>
    <mergeCell ref="F20:F21"/>
    <mergeCell ref="B11:B12"/>
    <mergeCell ref="D11:D12"/>
    <mergeCell ref="B9:C9"/>
    <mergeCell ref="D9:E9"/>
    <mergeCell ref="B8:C8"/>
    <mergeCell ref="D8:E8"/>
    <mergeCell ref="D6:E6"/>
    <mergeCell ref="B6:C6"/>
    <mergeCell ref="I11:K11"/>
    <mergeCell ref="D7:E7"/>
    <mergeCell ref="B7:C7"/>
    <mergeCell ref="F11:G13"/>
    <mergeCell ref="G20:G21"/>
  </mergeCells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2"/>
  <dimension ref="A1:P101"/>
  <sheetViews>
    <sheetView topLeftCell="A2" zoomScale="120" zoomScaleNormal="120" workbookViewId="0">
      <selection activeCell="C92" sqref="C92"/>
    </sheetView>
  </sheetViews>
  <sheetFormatPr baseColWidth="10" defaultColWidth="11" defaultRowHeight="17"/>
  <cols>
    <col min="1" max="1" width="48.796875" style="7" customWidth="1"/>
    <col min="2" max="2" width="23.796875" style="52" customWidth="1"/>
    <col min="3" max="3" width="24" style="7" customWidth="1"/>
    <col min="4" max="4" width="22.796875" style="12" customWidth="1"/>
    <col min="5" max="5" width="22.19921875" style="11" customWidth="1"/>
    <col min="6" max="6" width="29.796875" style="7" customWidth="1"/>
    <col min="7" max="7" width="27.796875" style="6" customWidth="1"/>
    <col min="8" max="8" width="32.3984375" style="7" customWidth="1"/>
    <col min="9" max="9" width="23.59765625" style="7" customWidth="1"/>
    <col min="10" max="10" width="25.19921875" style="7" customWidth="1"/>
    <col min="11" max="11" width="28.796875" style="7" customWidth="1"/>
    <col min="12" max="12" width="36.19921875" style="7" customWidth="1"/>
    <col min="13" max="28" width="11" style="7" customWidth="1"/>
    <col min="29" max="16384" width="11" style="7"/>
  </cols>
  <sheetData>
    <row r="1" spans="1:16" ht="22" hidden="1" customHeight="1" thickBot="1"/>
    <row r="2" spans="1:16" ht="7" customHeight="1">
      <c r="D2" s="13"/>
    </row>
    <row r="3" spans="1:16" s="10" customFormat="1" ht="1" customHeight="1">
      <c r="A3" s="14"/>
      <c r="B3" s="53"/>
      <c r="C3" s="15" t="s">
        <v>11</v>
      </c>
      <c r="D3" s="15"/>
      <c r="E3" s="15"/>
      <c r="G3" s="9"/>
    </row>
    <row r="4" spans="1:16" s="10" customFormat="1" ht="19" customHeight="1">
      <c r="A4" s="14"/>
      <c r="B4" s="53"/>
      <c r="C4" s="15"/>
      <c r="D4" s="15"/>
      <c r="E4" s="15"/>
      <c r="G4" s="9"/>
    </row>
    <row r="5" spans="1:16" s="10" customFormat="1" ht="47" customHeight="1">
      <c r="A5" s="54" t="s">
        <v>129</v>
      </c>
      <c r="B5" s="674">
        <v>1</v>
      </c>
      <c r="C5" s="675"/>
      <c r="D5" s="739" t="s">
        <v>14</v>
      </c>
      <c r="E5" s="675"/>
      <c r="F5" s="675"/>
      <c r="G5" s="9"/>
    </row>
    <row r="6" spans="1:16" s="8" customFormat="1" ht="37" customHeight="1">
      <c r="A6" s="54" t="s">
        <v>130</v>
      </c>
      <c r="B6" s="683">
        <v>0</v>
      </c>
      <c r="C6" s="684"/>
      <c r="D6" s="682" t="s">
        <v>131</v>
      </c>
      <c r="E6" s="661"/>
      <c r="F6" s="106">
        <f>D21</f>
        <v>0</v>
      </c>
      <c r="G6" s="9"/>
      <c r="H6" s="10"/>
    </row>
    <row r="7" spans="1:16" s="8" customFormat="1" ht="33" customHeight="1">
      <c r="A7" s="55" t="s">
        <v>132</v>
      </c>
      <c r="B7" s="662">
        <f>CALENDAR!C2</f>
        <v>0</v>
      </c>
      <c r="C7" s="661"/>
      <c r="D7" s="660" t="s">
        <v>133</v>
      </c>
      <c r="E7" s="661"/>
      <c r="F7" s="107">
        <f>SUM(F12:F20)</f>
        <v>0</v>
      </c>
      <c r="G7" s="9"/>
      <c r="H7" s="10"/>
    </row>
    <row r="8" spans="1:16" s="8" customFormat="1" ht="31" customHeight="1">
      <c r="A8" s="54" t="s">
        <v>134</v>
      </c>
      <c r="B8" s="680">
        <f>CALENDAR!C3</f>
        <v>0</v>
      </c>
      <c r="C8" s="661"/>
      <c r="D8" s="681" t="s">
        <v>135</v>
      </c>
      <c r="E8" s="661"/>
      <c r="F8" s="108">
        <f>F6-F7</f>
        <v>0</v>
      </c>
      <c r="G8" s="9"/>
      <c r="H8" s="10"/>
    </row>
    <row r="9" spans="1:16" s="8" customFormat="1" ht="32" customHeight="1">
      <c r="A9" s="55" t="s">
        <v>136</v>
      </c>
      <c r="B9" s="678">
        <f>CALENDAR!J2</f>
        <v>0</v>
      </c>
      <c r="C9" s="661"/>
      <c r="D9" s="679" t="s">
        <v>137</v>
      </c>
      <c r="E9" s="661"/>
      <c r="F9" s="1"/>
      <c r="G9" s="9"/>
      <c r="H9" s="10"/>
    </row>
    <row r="10" spans="1:16" s="8" customFormat="1" ht="30" customHeight="1" thickBot="1">
      <c r="A10" s="16"/>
      <c r="B10" s="56"/>
      <c r="C10" s="6"/>
      <c r="D10" s="7"/>
      <c r="E10" s="7"/>
      <c r="F10" s="7"/>
      <c r="G10" s="17"/>
      <c r="H10" s="7"/>
      <c r="I10" s="7"/>
      <c r="J10" s="7"/>
      <c r="K10" s="7"/>
      <c r="L10" s="7"/>
      <c r="M10" s="7"/>
      <c r="N10" s="7"/>
      <c r="O10" s="7"/>
      <c r="P10" s="7"/>
    </row>
    <row r="11" spans="1:16" s="6" customFormat="1" ht="44" customHeight="1" thickBot="1">
      <c r="A11" s="671" t="s">
        <v>138</v>
      </c>
      <c r="B11" s="677" t="s">
        <v>139</v>
      </c>
      <c r="C11" s="57" t="s">
        <v>140</v>
      </c>
      <c r="D11" s="677" t="s">
        <v>141</v>
      </c>
      <c r="E11" s="7"/>
      <c r="F11" s="738" t="str">
        <f>D5</f>
        <v>CORCOVADO</v>
      </c>
      <c r="G11" s="664"/>
      <c r="H11" s="7"/>
      <c r="I11" s="658" t="s">
        <v>142</v>
      </c>
      <c r="J11" s="659"/>
      <c r="K11" s="659"/>
      <c r="L11" s="7"/>
      <c r="M11" s="7"/>
      <c r="N11" s="7"/>
      <c r="O11" s="7"/>
      <c r="P11" s="7"/>
    </row>
    <row r="12" spans="1:16" s="6" customFormat="1" ht="32" customHeight="1">
      <c r="A12" s="659"/>
      <c r="B12" s="659"/>
      <c r="C12" s="58">
        <v>0.05</v>
      </c>
      <c r="D12" s="659"/>
      <c r="E12" s="7"/>
      <c r="F12" s="665"/>
      <c r="G12" s="666"/>
      <c r="H12" s="7"/>
      <c r="I12" s="59" t="s">
        <v>126</v>
      </c>
      <c r="J12" s="60" t="s">
        <v>143</v>
      </c>
      <c r="K12" s="60" t="s">
        <v>144</v>
      </c>
      <c r="L12" s="7"/>
      <c r="M12" s="7"/>
      <c r="N12" s="7"/>
      <c r="O12" s="7"/>
      <c r="P12" s="7"/>
    </row>
    <row r="13" spans="1:16" ht="22" customHeight="1" thickBot="1">
      <c r="A13" s="61" t="s">
        <v>15</v>
      </c>
      <c r="B13" s="109">
        <f>G28</f>
        <v>0</v>
      </c>
      <c r="C13" s="109">
        <f t="shared" ref="C13:C20" si="0">B13*$C$12</f>
        <v>0</v>
      </c>
      <c r="D13" s="109">
        <f t="shared" ref="D13:D20" si="1">B13+(B13*$C$12)</f>
        <v>0</v>
      </c>
      <c r="E13" s="7"/>
      <c r="F13" s="667"/>
      <c r="G13" s="668"/>
      <c r="I13" s="3"/>
      <c r="J13" s="4"/>
      <c r="K13" s="5"/>
    </row>
    <row r="14" spans="1:16" s="6" customFormat="1" ht="20" customHeight="1">
      <c r="A14" s="62" t="s">
        <v>16</v>
      </c>
      <c r="B14" s="110">
        <f>J49</f>
        <v>0</v>
      </c>
      <c r="C14" s="110">
        <f t="shared" si="0"/>
        <v>0</v>
      </c>
      <c r="D14" s="110">
        <f t="shared" si="1"/>
        <v>0</v>
      </c>
      <c r="E14" s="7"/>
      <c r="F14" s="271" t="str">
        <f t="shared" ref="F14:F19" si="2">A14</f>
        <v>2.FOOD</v>
      </c>
      <c r="G14" s="261">
        <f>G49</f>
        <v>0</v>
      </c>
      <c r="H14" s="7"/>
      <c r="I14" s="3"/>
      <c r="J14" s="4"/>
      <c r="K14" s="5"/>
      <c r="L14" s="7"/>
      <c r="M14" s="7"/>
      <c r="N14" s="7"/>
      <c r="O14" s="7"/>
      <c r="P14" s="7"/>
    </row>
    <row r="15" spans="1:16" s="6" customFormat="1" ht="20" customHeight="1">
      <c r="A15" s="63" t="s">
        <v>17</v>
      </c>
      <c r="B15" s="111">
        <f>E59</f>
        <v>0</v>
      </c>
      <c r="C15" s="111">
        <f t="shared" si="0"/>
        <v>0</v>
      </c>
      <c r="D15" s="111">
        <f t="shared" si="1"/>
        <v>0</v>
      </c>
      <c r="E15" s="7"/>
      <c r="F15" s="272" t="str">
        <f t="shared" si="2"/>
        <v>3.DRINKS</v>
      </c>
      <c r="G15" s="262">
        <f>G59</f>
        <v>0</v>
      </c>
      <c r="H15" s="7"/>
      <c r="I15" s="3"/>
      <c r="J15" s="4"/>
      <c r="K15" s="5"/>
      <c r="L15" s="7"/>
      <c r="M15" s="7"/>
      <c r="N15" s="7"/>
      <c r="O15" s="7"/>
      <c r="P15" s="7"/>
    </row>
    <row r="16" spans="1:16" s="6" customFormat="1" ht="20" customHeight="1">
      <c r="A16" s="55" t="s">
        <v>18</v>
      </c>
      <c r="B16" s="112">
        <f>$E$72</f>
        <v>0</v>
      </c>
      <c r="C16" s="112">
        <f t="shared" si="0"/>
        <v>0</v>
      </c>
      <c r="D16" s="112">
        <f t="shared" si="1"/>
        <v>0</v>
      </c>
      <c r="E16" s="7"/>
      <c r="F16" s="273" t="str">
        <f t="shared" si="2"/>
        <v>4. ACTIVITIES</v>
      </c>
      <c r="G16" s="263">
        <f>G72</f>
        <v>0</v>
      </c>
      <c r="H16" s="7"/>
      <c r="I16" s="3"/>
      <c r="J16" s="4"/>
      <c r="K16" s="5"/>
      <c r="L16" s="7"/>
      <c r="M16" s="7"/>
      <c r="N16" s="7"/>
      <c r="O16" s="7"/>
      <c r="P16" s="7"/>
    </row>
    <row r="17" spans="1:16" s="6" customFormat="1" ht="20" customHeight="1">
      <c r="A17" s="63" t="s">
        <v>19</v>
      </c>
      <c r="B17" s="111">
        <f>$E$80</f>
        <v>0</v>
      </c>
      <c r="C17" s="111">
        <f t="shared" si="0"/>
        <v>0</v>
      </c>
      <c r="D17" s="111">
        <f t="shared" si="1"/>
        <v>0</v>
      </c>
      <c r="E17" s="7"/>
      <c r="F17" s="274" t="str">
        <f t="shared" si="2"/>
        <v>5.TRANSPORT</v>
      </c>
      <c r="G17" s="174">
        <f>G80</f>
        <v>0</v>
      </c>
      <c r="H17" s="7"/>
      <c r="I17" s="3"/>
      <c r="J17" s="4"/>
      <c r="K17" s="5"/>
      <c r="L17" s="7"/>
      <c r="M17" s="7"/>
      <c r="N17" s="7"/>
      <c r="O17" s="7"/>
      <c r="P17" s="7"/>
    </row>
    <row r="18" spans="1:16" s="6" customFormat="1" ht="20" customHeight="1">
      <c r="A18" s="64" t="s">
        <v>20</v>
      </c>
      <c r="B18" s="113">
        <f>$E$86</f>
        <v>0</v>
      </c>
      <c r="C18" s="113">
        <f t="shared" si="0"/>
        <v>0</v>
      </c>
      <c r="D18" s="113">
        <f t="shared" si="1"/>
        <v>0</v>
      </c>
      <c r="E18" s="10"/>
      <c r="F18" s="275" t="str">
        <f t="shared" si="2"/>
        <v>6.EXPERIENCES</v>
      </c>
      <c r="G18" s="264">
        <f>G86</f>
        <v>0</v>
      </c>
      <c r="H18" s="7"/>
      <c r="I18" s="3"/>
      <c r="J18" s="4"/>
      <c r="K18" s="5"/>
      <c r="L18" s="7"/>
      <c r="M18" s="7"/>
      <c r="N18" s="7"/>
      <c r="O18" s="7"/>
      <c r="P18" s="7"/>
    </row>
    <row r="19" spans="1:16" s="6" customFormat="1" ht="20" customHeight="1">
      <c r="A19" s="65" t="s">
        <v>21</v>
      </c>
      <c r="B19" s="114">
        <f>$E$95</f>
        <v>0</v>
      </c>
      <c r="C19" s="114">
        <f t="shared" si="0"/>
        <v>0</v>
      </c>
      <c r="D19" s="114">
        <f t="shared" si="1"/>
        <v>0</v>
      </c>
      <c r="E19" s="7"/>
      <c r="F19" s="276" t="str">
        <f t="shared" si="2"/>
        <v>7.EXTRAS</v>
      </c>
      <c r="G19" s="151">
        <f>G95</f>
        <v>0</v>
      </c>
      <c r="H19" s="7"/>
      <c r="I19" s="3"/>
      <c r="J19" s="4"/>
      <c r="K19" s="5"/>
      <c r="L19" s="7"/>
      <c r="M19" s="7"/>
      <c r="N19" s="7"/>
      <c r="O19" s="7"/>
      <c r="P19" s="7"/>
    </row>
    <row r="20" spans="1:16" s="6" customFormat="1" ht="20" customHeight="1" thickBot="1">
      <c r="A20" s="66" t="s">
        <v>22</v>
      </c>
      <c r="B20" s="115">
        <f>$E$99</f>
        <v>0</v>
      </c>
      <c r="C20" s="115">
        <f t="shared" si="0"/>
        <v>0</v>
      </c>
      <c r="D20" s="115">
        <f t="shared" si="1"/>
        <v>0</v>
      </c>
      <c r="E20" s="7"/>
      <c r="F20" s="676" t="s">
        <v>145</v>
      </c>
      <c r="G20" s="669">
        <f>G14+G15+G16+G17+G18+G19</f>
        <v>0</v>
      </c>
      <c r="H20" s="7"/>
      <c r="I20" s="3"/>
      <c r="J20" s="4"/>
      <c r="K20" s="5"/>
      <c r="L20" s="7"/>
      <c r="M20" s="7"/>
      <c r="N20" s="7"/>
      <c r="O20" s="7"/>
      <c r="P20" s="7"/>
    </row>
    <row r="21" spans="1:16" ht="35" customHeight="1" thickBot="1">
      <c r="A21" s="67" t="s">
        <v>146</v>
      </c>
      <c r="B21" s="116">
        <f>SUM(B13:B20)</f>
        <v>0</v>
      </c>
      <c r="C21" s="116"/>
      <c r="D21" s="116">
        <f>SUM(D13:D20)</f>
        <v>0</v>
      </c>
      <c r="E21" s="51"/>
      <c r="F21" s="670"/>
      <c r="G21" s="670"/>
    </row>
    <row r="22" spans="1:16" s="8" customFormat="1" ht="11" customHeight="1" thickBot="1">
      <c r="A22" s="16"/>
      <c r="B22" s="56"/>
      <c r="C22" s="6"/>
      <c r="D22" s="7"/>
      <c r="E22" s="7"/>
      <c r="F22" s="7"/>
      <c r="G22" s="17"/>
      <c r="H22" s="7"/>
      <c r="I22" s="7"/>
      <c r="J22" s="7"/>
      <c r="K22" s="7"/>
      <c r="L22" s="7"/>
      <c r="M22" s="7"/>
      <c r="N22" s="7"/>
      <c r="O22" s="7"/>
      <c r="P22" s="7"/>
    </row>
    <row r="23" spans="1:16" ht="44" customHeight="1" thickBot="1">
      <c r="A23" s="68" t="s">
        <v>114</v>
      </c>
      <c r="B23" s="69" t="s">
        <v>52</v>
      </c>
      <c r="C23" s="69" t="s">
        <v>147</v>
      </c>
      <c r="D23" s="69" t="s">
        <v>148</v>
      </c>
      <c r="E23" s="70" t="s">
        <v>149</v>
      </c>
      <c r="F23" s="70" t="s">
        <v>150</v>
      </c>
      <c r="G23" s="70" t="s">
        <v>151</v>
      </c>
    </row>
    <row r="24" spans="1:16" ht="20" customHeight="1">
      <c r="A24" s="71" t="s">
        <v>174</v>
      </c>
      <c r="B24" s="93">
        <v>1</v>
      </c>
      <c r="C24" s="117">
        <f>398381.8</f>
        <v>398381.8</v>
      </c>
      <c r="D24" s="118"/>
      <c r="E24" s="119">
        <f>(C24+D24)*$B$9*B24</f>
        <v>0</v>
      </c>
      <c r="F24" s="2">
        <v>0</v>
      </c>
      <c r="G24" s="119">
        <f>E24-(E24*F24)</f>
        <v>0</v>
      </c>
    </row>
    <row r="25" spans="1:16" ht="20" customHeight="1">
      <c r="A25" s="71" t="s">
        <v>175</v>
      </c>
      <c r="B25" s="93">
        <v>0</v>
      </c>
      <c r="C25" s="117">
        <f>398381.8</f>
        <v>398381.8</v>
      </c>
      <c r="D25" s="118">
        <v>50000</v>
      </c>
      <c r="E25" s="119">
        <f>(C25+D25)*$B$9*B25</f>
        <v>0</v>
      </c>
      <c r="F25" s="2">
        <v>0</v>
      </c>
      <c r="G25" s="119">
        <f>E25-(E25*F25)</f>
        <v>0</v>
      </c>
    </row>
    <row r="26" spans="1:16" ht="20" customHeight="1">
      <c r="A26" s="71" t="s">
        <v>176</v>
      </c>
      <c r="B26" s="93">
        <v>0</v>
      </c>
      <c r="C26" s="117">
        <f>358543.62</f>
        <v>358543.62</v>
      </c>
      <c r="D26" s="118"/>
      <c r="E26" s="119">
        <f>(C26+D26)*$B$9*B26</f>
        <v>0</v>
      </c>
      <c r="F26" s="2">
        <v>0</v>
      </c>
      <c r="G26" s="119">
        <f>E26-(E26*F26)</f>
        <v>0</v>
      </c>
    </row>
    <row r="27" spans="1:16" ht="20" customHeight="1" thickBot="1">
      <c r="A27" s="71" t="s">
        <v>177</v>
      </c>
      <c r="B27" s="93">
        <v>0</v>
      </c>
      <c r="C27" s="117">
        <f>358543.62</f>
        <v>358543.62</v>
      </c>
      <c r="D27" s="118">
        <v>50000</v>
      </c>
      <c r="E27" s="119">
        <f>(C27+D27)*$B$9*B27</f>
        <v>0</v>
      </c>
      <c r="F27" s="2">
        <v>0</v>
      </c>
      <c r="G27" s="119">
        <f>E27-(E27*F27)</f>
        <v>0</v>
      </c>
    </row>
    <row r="28" spans="1:16" ht="29" customHeight="1" thickBot="1">
      <c r="A28" s="672" t="s">
        <v>156</v>
      </c>
      <c r="B28" s="673"/>
      <c r="C28" s="673"/>
      <c r="D28" s="673"/>
      <c r="E28" s="72"/>
      <c r="F28" s="73"/>
      <c r="G28" s="120">
        <f>SUM(G24:G27)</f>
        <v>0</v>
      </c>
    </row>
    <row r="29" spans="1:16" s="8" customFormat="1" ht="11" customHeight="1" thickBot="1">
      <c r="A29" s="16"/>
      <c r="B29" s="56"/>
      <c r="C29" s="6"/>
      <c r="D29" s="7"/>
      <c r="E29" s="7"/>
      <c r="F29" s="7"/>
      <c r="G29" s="17"/>
      <c r="H29" s="7"/>
      <c r="I29" s="286"/>
      <c r="J29" s="7"/>
      <c r="K29" s="7"/>
      <c r="L29" s="7"/>
      <c r="M29" s="7"/>
      <c r="N29" s="7"/>
      <c r="O29" s="7"/>
      <c r="P29" s="7"/>
    </row>
    <row r="30" spans="1:16" s="10" customFormat="1" ht="40" customHeight="1" thickBot="1">
      <c r="A30" s="18" t="s">
        <v>51</v>
      </c>
      <c r="B30" s="159" t="s">
        <v>52</v>
      </c>
      <c r="C30" s="160" t="s">
        <v>53</v>
      </c>
      <c r="D30" s="153" t="s">
        <v>54</v>
      </c>
      <c r="E30" s="149" t="s">
        <v>157</v>
      </c>
      <c r="F30" s="103" t="s">
        <v>158</v>
      </c>
      <c r="G30" s="147" t="s">
        <v>159</v>
      </c>
      <c r="I30" s="286"/>
    </row>
    <row r="31" spans="1:16" ht="20" customHeight="1" thickBot="1">
      <c r="A31" s="154" t="str">
        <f>'BASE PAX'!A6</f>
        <v>BREAKFAST</v>
      </c>
      <c r="B31" s="285">
        <f>(B5*B9*'BASE PAX'!G6)+('BASE PAX'!H6*B6*B9)</f>
        <v>0</v>
      </c>
      <c r="C31" s="121"/>
      <c r="D31" s="144"/>
      <c r="E31" s="283">
        <v>0</v>
      </c>
      <c r="F31" s="122">
        <f t="shared" ref="F31:F46" si="3">B31*C31</f>
        <v>0</v>
      </c>
      <c r="G31" s="325">
        <f>0.2*B31</f>
        <v>0</v>
      </c>
      <c r="H31" s="351" t="str">
        <f>A31</f>
        <v>BREAKFAST</v>
      </c>
      <c r="I31" s="353">
        <f>B31</f>
        <v>0</v>
      </c>
    </row>
    <row r="32" spans="1:16" ht="20" customHeight="1">
      <c r="A32" s="155" t="str">
        <f>'BASE PAX'!A7</f>
        <v>LUNCH 1</v>
      </c>
      <c r="B32" s="74">
        <f>($B$5+$B$6)*'BASE PAX'!B7</f>
        <v>0</v>
      </c>
      <c r="C32" s="123">
        <f>'BASE PAX'!C7</f>
        <v>40000</v>
      </c>
      <c r="D32" s="125">
        <f>'BASE PAX'!D7</f>
        <v>48000</v>
      </c>
      <c r="E32" s="151">
        <f t="shared" ref="E32:E46" si="4">D32*B32</f>
        <v>0</v>
      </c>
      <c r="F32" s="124">
        <f t="shared" si="3"/>
        <v>0</v>
      </c>
      <c r="G32" s="146">
        <f t="shared" ref="G32:G46" si="5">E32-F32</f>
        <v>0</v>
      </c>
      <c r="I32" s="290"/>
    </row>
    <row r="33" spans="1:11" ht="20" customHeight="1">
      <c r="A33" s="155" t="str">
        <f>'BASE PAX'!A8</f>
        <v>LUNCH 2</v>
      </c>
      <c r="B33" s="74">
        <f>($B$5+$B$6)*'BASE PAX'!B8</f>
        <v>0</v>
      </c>
      <c r="C33" s="123">
        <f>'BASE PAX'!C8</f>
        <v>40000</v>
      </c>
      <c r="D33" s="125">
        <f>'BASE PAX'!D8</f>
        <v>48000</v>
      </c>
      <c r="E33" s="151">
        <f t="shared" si="4"/>
        <v>0</v>
      </c>
      <c r="F33" s="124">
        <f t="shared" si="3"/>
        <v>0</v>
      </c>
      <c r="G33" s="146">
        <f t="shared" si="5"/>
        <v>0</v>
      </c>
      <c r="I33" s="290"/>
    </row>
    <row r="34" spans="1:11" ht="20" customHeight="1">
      <c r="A34" s="155" t="str">
        <f>'BASE PAX'!A9</f>
        <v>LUNCH 3</v>
      </c>
      <c r="B34" s="74">
        <f>($B$5+$B$6)*'BASE PAX'!B9</f>
        <v>0</v>
      </c>
      <c r="C34" s="123">
        <f>'BASE PAX'!C9</f>
        <v>40000</v>
      </c>
      <c r="D34" s="125">
        <f>'BASE PAX'!D9</f>
        <v>48000</v>
      </c>
      <c r="E34" s="151">
        <f t="shared" si="4"/>
        <v>0</v>
      </c>
      <c r="F34" s="124">
        <f t="shared" si="3"/>
        <v>0</v>
      </c>
      <c r="G34" s="146">
        <f t="shared" si="5"/>
        <v>0</v>
      </c>
      <c r="I34" s="290"/>
    </row>
    <row r="35" spans="1:11" ht="20" customHeight="1">
      <c r="A35" s="155" t="str">
        <f>'BASE PAX'!A10</f>
        <v>LUNCH 4</v>
      </c>
      <c r="B35" s="74">
        <f>($B$5+$B$6)*'BASE PAX'!B10</f>
        <v>0</v>
      </c>
      <c r="C35" s="123">
        <f>'BASE PAX'!C10</f>
        <v>45000</v>
      </c>
      <c r="D35" s="125">
        <f>'BASE PAX'!D10</f>
        <v>54000</v>
      </c>
      <c r="E35" s="151">
        <f t="shared" si="4"/>
        <v>0</v>
      </c>
      <c r="F35" s="124">
        <f t="shared" si="3"/>
        <v>0</v>
      </c>
      <c r="G35" s="146">
        <f t="shared" si="5"/>
        <v>0</v>
      </c>
      <c r="I35" s="290"/>
    </row>
    <row r="36" spans="1:11" ht="20" customHeight="1">
      <c r="A36" s="155" t="str">
        <f>'BASE PAX'!A11</f>
        <v>LUNCH 5</v>
      </c>
      <c r="B36" s="74">
        <f>($B$5+$B$6)*'BASE PAX'!B11</f>
        <v>0</v>
      </c>
      <c r="C36" s="123">
        <f>'BASE PAX'!C11</f>
        <v>50000</v>
      </c>
      <c r="D36" s="125">
        <f>'BASE PAX'!D11</f>
        <v>60000</v>
      </c>
      <c r="E36" s="151">
        <f t="shared" si="4"/>
        <v>0</v>
      </c>
      <c r="F36" s="124">
        <f t="shared" si="3"/>
        <v>0</v>
      </c>
      <c r="G36" s="146">
        <f t="shared" si="5"/>
        <v>0</v>
      </c>
      <c r="I36" s="290"/>
    </row>
    <row r="37" spans="1:11" ht="20" customHeight="1">
      <c r="A37" s="155" t="str">
        <f>'BASE PAX'!A12</f>
        <v>LUNCH 6</v>
      </c>
      <c r="B37" s="74">
        <f>($B$5+$B$6)*'BASE PAX'!B12</f>
        <v>0</v>
      </c>
      <c r="C37" s="123">
        <f>'BASE PAX'!C12</f>
        <v>0</v>
      </c>
      <c r="D37" s="125">
        <f>'BASE PAX'!D12</f>
        <v>0</v>
      </c>
      <c r="E37" s="151">
        <f t="shared" si="4"/>
        <v>0</v>
      </c>
      <c r="F37" s="124">
        <f t="shared" si="3"/>
        <v>0</v>
      </c>
      <c r="G37" s="146">
        <f t="shared" si="5"/>
        <v>0</v>
      </c>
      <c r="I37" s="290"/>
    </row>
    <row r="38" spans="1:11" ht="20" customHeight="1">
      <c r="A38" s="155" t="str">
        <f>'BASE PAX'!A13</f>
        <v>LUNCH 7</v>
      </c>
      <c r="B38" s="74">
        <f>($B$5+$B$6)*'BASE PAX'!B13</f>
        <v>0</v>
      </c>
      <c r="C38" s="123">
        <f>'BASE PAX'!C13</f>
        <v>5000</v>
      </c>
      <c r="D38" s="125">
        <f>'BASE PAX'!D13</f>
        <v>6000</v>
      </c>
      <c r="E38" s="151">
        <f t="shared" si="4"/>
        <v>0</v>
      </c>
      <c r="F38" s="124">
        <f t="shared" si="3"/>
        <v>0</v>
      </c>
      <c r="G38" s="146">
        <f t="shared" si="5"/>
        <v>0</v>
      </c>
      <c r="I38" s="290"/>
    </row>
    <row r="39" spans="1:11" ht="20" customHeight="1">
      <c r="A39" s="156" t="str">
        <f>'BASE PAX'!A14</f>
        <v>SNACKS</v>
      </c>
      <c r="B39" s="75">
        <f>($B$5+$B$6)*'BASE PAX'!B14</f>
        <v>0</v>
      </c>
      <c r="C39" s="125">
        <f>'BASE PAX'!C14</f>
        <v>8000</v>
      </c>
      <c r="D39" s="145">
        <f>'BASE PAX'!D14</f>
        <v>9600</v>
      </c>
      <c r="E39" s="150">
        <f t="shared" si="4"/>
        <v>0</v>
      </c>
      <c r="F39" s="122">
        <f t="shared" si="3"/>
        <v>0</v>
      </c>
      <c r="G39" s="146">
        <f t="shared" si="5"/>
        <v>0</v>
      </c>
      <c r="I39" s="290"/>
    </row>
    <row r="40" spans="1:11" ht="20" customHeight="1">
      <c r="A40" s="155" t="str">
        <f>'BASE PAX'!A15</f>
        <v>DINNER 1</v>
      </c>
      <c r="B40" s="74">
        <f>($B$5+$B$6)*'BASE PAX'!B15</f>
        <v>0</v>
      </c>
      <c r="C40" s="123">
        <f>'BASE PAX'!C15</f>
        <v>70000</v>
      </c>
      <c r="D40" s="125">
        <f>'BASE PAX'!D15</f>
        <v>84000</v>
      </c>
      <c r="E40" s="151">
        <f t="shared" si="4"/>
        <v>0</v>
      </c>
      <c r="F40" s="124">
        <f t="shared" si="3"/>
        <v>0</v>
      </c>
      <c r="G40" s="146">
        <f t="shared" si="5"/>
        <v>0</v>
      </c>
      <c r="H40" s="287"/>
      <c r="I40" s="291"/>
    </row>
    <row r="41" spans="1:11" ht="20" customHeight="1">
      <c r="A41" s="155" t="str">
        <f>'BASE PAX'!A16</f>
        <v>DINNER 2</v>
      </c>
      <c r="B41" s="74">
        <f>($B$5+$B$6)*'BASE PAX'!B16</f>
        <v>0</v>
      </c>
      <c r="C41" s="123">
        <f>'BASE PAX'!C16</f>
        <v>25000</v>
      </c>
      <c r="D41" s="125">
        <f>'BASE PAX'!D16</f>
        <v>30000</v>
      </c>
      <c r="E41" s="151">
        <f t="shared" si="4"/>
        <v>0</v>
      </c>
      <c r="F41" s="124">
        <f t="shared" si="3"/>
        <v>0</v>
      </c>
      <c r="G41" s="146">
        <f t="shared" si="5"/>
        <v>0</v>
      </c>
      <c r="I41" s="290"/>
    </row>
    <row r="42" spans="1:11" ht="20" customHeight="1">
      <c r="A42" s="155" t="str">
        <f>'BASE PAX'!A17</f>
        <v>DINNER 3</v>
      </c>
      <c r="B42" s="74">
        <f>($B$5+$B$6)*'BASE PAX'!B17</f>
        <v>0</v>
      </c>
      <c r="C42" s="123">
        <f>'BASE PAX'!C17</f>
        <v>50000</v>
      </c>
      <c r="D42" s="125">
        <f>'BASE PAX'!D17</f>
        <v>60000</v>
      </c>
      <c r="E42" s="151">
        <f t="shared" si="4"/>
        <v>0</v>
      </c>
      <c r="F42" s="124">
        <f t="shared" si="3"/>
        <v>0</v>
      </c>
      <c r="G42" s="146">
        <f t="shared" si="5"/>
        <v>0</v>
      </c>
      <c r="I42" s="290"/>
    </row>
    <row r="43" spans="1:11" ht="20" customHeight="1">
      <c r="A43" s="155" t="str">
        <f>'BASE PAX'!A18</f>
        <v>DINNER 4</v>
      </c>
      <c r="B43" s="74">
        <f>($B$5+$B$6)*'BASE PAX'!B18</f>
        <v>0</v>
      </c>
      <c r="C43" s="123">
        <f>'BASE PAX'!C18</f>
        <v>65000</v>
      </c>
      <c r="D43" s="125">
        <f>'BASE PAX'!D18</f>
        <v>78000</v>
      </c>
      <c r="E43" s="151">
        <f t="shared" si="4"/>
        <v>0</v>
      </c>
      <c r="F43" s="124">
        <f t="shared" si="3"/>
        <v>0</v>
      </c>
      <c r="G43" s="146">
        <f t="shared" si="5"/>
        <v>0</v>
      </c>
      <c r="I43" s="9"/>
    </row>
    <row r="44" spans="1:11" ht="20" customHeight="1">
      <c r="A44" s="155" t="str">
        <f>'BASE PAX'!A19</f>
        <v>DINNER 5</v>
      </c>
      <c r="B44" s="74">
        <f>($B$5+$B$6)*'BASE PAX'!B19</f>
        <v>0</v>
      </c>
      <c r="C44" s="123">
        <f>'BASE PAX'!C19</f>
        <v>75000</v>
      </c>
      <c r="D44" s="125">
        <f>'BASE PAX'!D19</f>
        <v>90000</v>
      </c>
      <c r="E44" s="151">
        <f t="shared" si="4"/>
        <v>0</v>
      </c>
      <c r="F44" s="124">
        <f t="shared" si="3"/>
        <v>0</v>
      </c>
      <c r="G44" s="146">
        <f t="shared" si="5"/>
        <v>0</v>
      </c>
      <c r="I44" s="9"/>
    </row>
    <row r="45" spans="1:11" ht="20" customHeight="1">
      <c r="A45" s="155" t="str">
        <f>'BASE PAX'!A20</f>
        <v>DINNER 6</v>
      </c>
      <c r="B45" s="74">
        <f>($B$5+$B$6)*'BASE PAX'!B20</f>
        <v>0</v>
      </c>
      <c r="C45" s="123">
        <f>'BASE PAX'!C20</f>
        <v>0</v>
      </c>
      <c r="D45" s="125">
        <f>'BASE PAX'!D20</f>
        <v>0</v>
      </c>
      <c r="E45" s="151">
        <f t="shared" si="4"/>
        <v>0</v>
      </c>
      <c r="F45" s="124">
        <f t="shared" si="3"/>
        <v>0</v>
      </c>
      <c r="G45" s="146">
        <f t="shared" si="5"/>
        <v>0</v>
      </c>
      <c r="I45" s="9"/>
    </row>
    <row r="46" spans="1:11" ht="20" customHeight="1" thickBot="1">
      <c r="A46" s="155" t="str">
        <f>'BASE PAX'!A21</f>
        <v>DINNER 7</v>
      </c>
      <c r="B46" s="74">
        <f>($B$5+$B$6)*'BASE PAX'!B21</f>
        <v>0</v>
      </c>
      <c r="C46" s="123">
        <f>'BASE PAX'!C21</f>
        <v>75000</v>
      </c>
      <c r="D46" s="125">
        <f>'BASE PAX'!D21</f>
        <v>90000</v>
      </c>
      <c r="E46" s="151">
        <f t="shared" si="4"/>
        <v>0</v>
      </c>
      <c r="F46" s="124">
        <f t="shared" si="3"/>
        <v>0</v>
      </c>
      <c r="G46" s="146">
        <f t="shared" si="5"/>
        <v>0</v>
      </c>
      <c r="I46" s="10"/>
    </row>
    <row r="47" spans="1:11" ht="20" customHeight="1">
      <c r="A47" s="155" t="str">
        <f>'BASE PAX'!A22</f>
        <v>QUANT. TOTAL | PADRAO ALMOÇO</v>
      </c>
      <c r="B47" s="74">
        <f>'BASE PAX'!B22</f>
        <v>0</v>
      </c>
      <c r="C47" s="123"/>
      <c r="D47" s="125"/>
      <c r="E47" s="151"/>
      <c r="F47" s="124"/>
      <c r="G47" s="325">
        <f>0.2*I47</f>
        <v>0</v>
      </c>
      <c r="H47" s="338" t="str">
        <f>A47</f>
        <v>QUANT. TOTAL | PADRAO ALMOÇO</v>
      </c>
      <c r="I47" s="349">
        <f>(B5*B47*'BASE PAX'!G22)+(B6*B47*'BASE PAX'!H22)</f>
        <v>0</v>
      </c>
      <c r="J47" s="328"/>
      <c r="K47" s="329"/>
    </row>
    <row r="48" spans="1:11" ht="20" customHeight="1" thickBot="1">
      <c r="A48" s="163" t="str">
        <f>'BASE PAX'!A23</f>
        <v>QUANT. TOTAL | PADRAO JANTAR</v>
      </c>
      <c r="B48" s="164">
        <f>'BASE PAX'!B23</f>
        <v>0</v>
      </c>
      <c r="C48" s="165"/>
      <c r="D48" s="166"/>
      <c r="E48" s="167"/>
      <c r="F48" s="168"/>
      <c r="G48" s="326">
        <f>0.2*I48</f>
        <v>0</v>
      </c>
      <c r="H48" s="347" t="str">
        <f>A48</f>
        <v>QUANT. TOTAL | PADRAO JANTAR</v>
      </c>
      <c r="I48" s="335">
        <f>(B5*B48*'BASE PAX'!G23)+(B6*B48*'BASE PAX'!H23)</f>
        <v>0</v>
      </c>
      <c r="J48" s="330"/>
      <c r="K48" s="331"/>
    </row>
    <row r="49" spans="1:16" ht="29" customHeight="1" thickBot="1">
      <c r="A49" s="161" t="s">
        <v>72</v>
      </c>
      <c r="B49" s="157"/>
      <c r="C49" s="158"/>
      <c r="D49" s="303"/>
      <c r="E49" s="104">
        <f>SUM(E31:E48)</f>
        <v>0</v>
      </c>
      <c r="F49" s="104">
        <f>SUM(F31:F48)</f>
        <v>0</v>
      </c>
      <c r="G49" s="327">
        <f>SUM(G31:G48)</f>
        <v>0</v>
      </c>
      <c r="H49" s="341" t="s">
        <v>55</v>
      </c>
      <c r="I49" s="342">
        <f>I31+I47+I48</f>
        <v>0</v>
      </c>
      <c r="J49" s="358">
        <f>I49+E49</f>
        <v>0</v>
      </c>
      <c r="K49" s="332" t="s">
        <v>160</v>
      </c>
    </row>
    <row r="50" spans="1:16" s="8" customFormat="1" ht="11" customHeight="1" thickBot="1">
      <c r="A50" s="16"/>
      <c r="B50" s="56"/>
      <c r="C50" s="105"/>
      <c r="D50" s="102"/>
      <c r="E50" s="102"/>
      <c r="F50" s="7"/>
      <c r="G50" s="17"/>
      <c r="H50" s="7"/>
      <c r="I50" s="7"/>
      <c r="J50" s="7"/>
      <c r="K50" s="7"/>
      <c r="L50" s="7"/>
      <c r="M50" s="7"/>
      <c r="N50" s="7"/>
      <c r="O50" s="7"/>
      <c r="P50" s="7"/>
    </row>
    <row r="51" spans="1:16" ht="34" customHeight="1" thickBot="1">
      <c r="A51" s="21" t="s">
        <v>161</v>
      </c>
      <c r="B51" s="207" t="s">
        <v>52</v>
      </c>
      <c r="C51" s="208" t="s">
        <v>53</v>
      </c>
      <c r="D51" s="209" t="s">
        <v>54</v>
      </c>
      <c r="E51" s="172" t="s">
        <v>55</v>
      </c>
      <c r="F51" s="142" t="s">
        <v>158</v>
      </c>
      <c r="G51" s="182" t="s">
        <v>159</v>
      </c>
    </row>
    <row r="52" spans="1:16" ht="20" customHeight="1">
      <c r="A52" s="76" t="str">
        <f>'BASE PAX'!A27</f>
        <v>SUCOS</v>
      </c>
      <c r="B52" s="205">
        <f>'BASE PAX'!B27</f>
        <v>0</v>
      </c>
      <c r="C52" s="193">
        <f>'BASE PAX'!C27</f>
        <v>0</v>
      </c>
      <c r="D52" s="206">
        <f t="shared" ref="D52:D58" si="6">(C52*0.2)+C52</f>
        <v>0</v>
      </c>
      <c r="E52" s="174">
        <f t="shared" ref="E52:E58" si="7">D52*B52</f>
        <v>0</v>
      </c>
      <c r="F52" s="173">
        <f t="shared" ref="F52:F58" si="8">B52*C52</f>
        <v>0</v>
      </c>
      <c r="G52" s="183">
        <f t="shared" ref="G52:G59" si="9">E52-F52</f>
        <v>0</v>
      </c>
    </row>
    <row r="53" spans="1:16" ht="20" customHeight="1">
      <c r="A53" s="76" t="str">
        <f>'BASE PAX'!A28</f>
        <v>SUCOS</v>
      </c>
      <c r="B53" s="205">
        <f>'BASE PAX'!B28</f>
        <v>0</v>
      </c>
      <c r="C53" s="175">
        <f>'BASE PAX'!C28</f>
        <v>0</v>
      </c>
      <c r="D53" s="176">
        <f t="shared" si="6"/>
        <v>0</v>
      </c>
      <c r="E53" s="174">
        <f t="shared" si="7"/>
        <v>0</v>
      </c>
      <c r="F53" s="173">
        <f t="shared" si="8"/>
        <v>0</v>
      </c>
      <c r="G53" s="183">
        <f t="shared" si="9"/>
        <v>0</v>
      </c>
    </row>
    <row r="54" spans="1:16" ht="20" customHeight="1">
      <c r="A54" s="87" t="str">
        <f>'BASE PAX'!A29</f>
        <v>CERVEJAS</v>
      </c>
      <c r="B54" s="205">
        <f>'BASE PAX'!B29</f>
        <v>0</v>
      </c>
      <c r="C54" s="175">
        <f>'BASE PAX'!C29</f>
        <v>2000</v>
      </c>
      <c r="D54" s="176">
        <f t="shared" si="6"/>
        <v>2400</v>
      </c>
      <c r="E54" s="174">
        <f t="shared" si="7"/>
        <v>0</v>
      </c>
      <c r="F54" s="173">
        <f t="shared" si="8"/>
        <v>0</v>
      </c>
      <c r="G54" s="183">
        <f t="shared" si="9"/>
        <v>0</v>
      </c>
    </row>
    <row r="55" spans="1:16" ht="20" customHeight="1">
      <c r="A55" s="87" t="str">
        <f>'BASE PAX'!A30</f>
        <v>VINHOS</v>
      </c>
      <c r="B55" s="205">
        <f>'BASE PAX'!B30</f>
        <v>0</v>
      </c>
      <c r="C55" s="175">
        <f>'BASE PAX'!C30</f>
        <v>8000</v>
      </c>
      <c r="D55" s="176">
        <f t="shared" si="6"/>
        <v>9600</v>
      </c>
      <c r="E55" s="174">
        <f t="shared" si="7"/>
        <v>0</v>
      </c>
      <c r="F55" s="173">
        <f t="shared" si="8"/>
        <v>0</v>
      </c>
      <c r="G55" s="183">
        <f t="shared" si="9"/>
        <v>0</v>
      </c>
    </row>
    <row r="56" spans="1:16" ht="20" customHeight="1">
      <c r="A56" s="87" t="str">
        <f>'BASE PAX'!A31</f>
        <v>DRINKS</v>
      </c>
      <c r="B56" s="205">
        <f>'BASE PAX'!B31</f>
        <v>0</v>
      </c>
      <c r="C56" s="175">
        <f>'BASE PAX'!C31</f>
        <v>15000</v>
      </c>
      <c r="D56" s="176">
        <f t="shared" si="6"/>
        <v>18000</v>
      </c>
      <c r="E56" s="174">
        <f t="shared" si="7"/>
        <v>0</v>
      </c>
      <c r="F56" s="173">
        <f t="shared" si="8"/>
        <v>0</v>
      </c>
      <c r="G56" s="183">
        <f t="shared" si="9"/>
        <v>0</v>
      </c>
    </row>
    <row r="57" spans="1:16" ht="20" customHeight="1">
      <c r="A57" s="87" t="str">
        <f>'BASE PAX'!A32</f>
        <v>COOLER</v>
      </c>
      <c r="B57" s="205">
        <f>'BASE PAX'!B32</f>
        <v>0</v>
      </c>
      <c r="C57" s="175">
        <f>'BASE PAX'!C32</f>
        <v>5000</v>
      </c>
      <c r="D57" s="176">
        <f t="shared" si="6"/>
        <v>6000</v>
      </c>
      <c r="E57" s="174">
        <f t="shared" si="7"/>
        <v>0</v>
      </c>
      <c r="F57" s="173">
        <f t="shared" si="8"/>
        <v>0</v>
      </c>
      <c r="G57" s="183">
        <f t="shared" si="9"/>
        <v>0</v>
      </c>
    </row>
    <row r="58" spans="1:16" ht="20" customHeight="1" thickBot="1">
      <c r="A58" s="180">
        <f>'BASE PAX'!A33</f>
        <v>0</v>
      </c>
      <c r="B58" s="205">
        <f>'BASE PAX'!B33</f>
        <v>0</v>
      </c>
      <c r="C58" s="178">
        <f>'BASE PAX'!C33</f>
        <v>0</v>
      </c>
      <c r="D58" s="179">
        <f t="shared" si="6"/>
        <v>0</v>
      </c>
      <c r="E58" s="184">
        <f t="shared" si="7"/>
        <v>0</v>
      </c>
      <c r="F58" s="185">
        <f t="shared" si="8"/>
        <v>0</v>
      </c>
      <c r="G58" s="186">
        <f t="shared" si="9"/>
        <v>0</v>
      </c>
    </row>
    <row r="59" spans="1:16" ht="48" customHeight="1" thickBot="1">
      <c r="A59" s="21" t="s">
        <v>79</v>
      </c>
      <c r="B59" s="77"/>
      <c r="C59" s="126"/>
      <c r="D59" s="181"/>
      <c r="E59" s="127">
        <f>SUM(E52:E58)</f>
        <v>0</v>
      </c>
      <c r="F59" s="188">
        <f>SUM(F52:F58)</f>
        <v>0</v>
      </c>
      <c r="G59" s="189">
        <f t="shared" si="9"/>
        <v>0</v>
      </c>
    </row>
    <row r="60" spans="1:16" s="8" customFormat="1" ht="11" customHeight="1" thickBot="1">
      <c r="A60" s="16"/>
      <c r="B60" s="56"/>
      <c r="C60" s="105"/>
      <c r="D60" s="102"/>
      <c r="E60" s="102"/>
      <c r="F60" s="7"/>
      <c r="G60" s="17"/>
      <c r="H60" s="7"/>
      <c r="I60" s="7"/>
      <c r="J60" s="7"/>
      <c r="K60" s="7"/>
      <c r="L60" s="7"/>
      <c r="M60" s="7"/>
      <c r="N60" s="7"/>
      <c r="O60" s="7"/>
      <c r="P60" s="7"/>
    </row>
    <row r="61" spans="1:16" s="10" customFormat="1" ht="42" customHeight="1" thickBot="1">
      <c r="A61" s="226" t="s">
        <v>18</v>
      </c>
      <c r="B61" s="227" t="s">
        <v>52</v>
      </c>
      <c r="C61" s="228" t="s">
        <v>53</v>
      </c>
      <c r="D61" s="229" t="s">
        <v>54</v>
      </c>
      <c r="E61" s="229" t="s">
        <v>55</v>
      </c>
      <c r="F61" s="228" t="s">
        <v>158</v>
      </c>
      <c r="G61" s="230" t="s">
        <v>159</v>
      </c>
    </row>
    <row r="62" spans="1:16" ht="20" customHeight="1">
      <c r="A62" s="223" t="str">
        <f>'BASE PAX'!A37</f>
        <v>HOTTUBE</v>
      </c>
      <c r="B62" s="224">
        <f>'BASE PAX'!B37</f>
        <v>0</v>
      </c>
      <c r="C62" s="195">
        <f>'BASE PAX'!C37</f>
        <v>12000</v>
      </c>
      <c r="D62" s="225">
        <f t="shared" ref="D62:D71" si="10">C62*0.2+C62</f>
        <v>14400</v>
      </c>
      <c r="E62" s="225">
        <f t="shared" ref="E62:E71" si="11">D62*B62</f>
        <v>0</v>
      </c>
      <c r="F62" s="195">
        <f t="shared" ref="F62:F72" si="12">B62*C62</f>
        <v>0</v>
      </c>
      <c r="G62" s="194">
        <f t="shared" ref="G62:G72" si="13">E62-F62</f>
        <v>0</v>
      </c>
    </row>
    <row r="63" spans="1:16" ht="20" customHeight="1">
      <c r="A63" s="219" t="str">
        <f>'BASE PAX'!A38</f>
        <v>TREKKING 1/2 DAY</v>
      </c>
      <c r="B63" s="224">
        <f>'BASE PAX'!B38</f>
        <v>0</v>
      </c>
      <c r="C63" s="196">
        <f>'BASE PAX'!C38</f>
        <v>60000</v>
      </c>
      <c r="D63" s="220">
        <f t="shared" si="10"/>
        <v>72000</v>
      </c>
      <c r="E63" s="220">
        <f t="shared" si="11"/>
        <v>0</v>
      </c>
      <c r="F63" s="196">
        <f t="shared" si="12"/>
        <v>0</v>
      </c>
      <c r="G63" s="190">
        <f t="shared" si="13"/>
        <v>0</v>
      </c>
    </row>
    <row r="64" spans="1:16" ht="20" customHeight="1">
      <c r="A64" s="219" t="str">
        <f>'BASE PAX'!A39</f>
        <v>TREKKING FUK DAY</v>
      </c>
      <c r="B64" s="224">
        <f>'BASE PAX'!B39</f>
        <v>0</v>
      </c>
      <c r="C64" s="196">
        <f>'BASE PAX'!C39</f>
        <v>90000</v>
      </c>
      <c r="D64" s="220">
        <f t="shared" si="10"/>
        <v>108000</v>
      </c>
      <c r="E64" s="220">
        <f t="shared" si="11"/>
        <v>0</v>
      </c>
      <c r="F64" s="196">
        <f t="shared" si="12"/>
        <v>0</v>
      </c>
      <c r="G64" s="190">
        <f t="shared" si="13"/>
        <v>0</v>
      </c>
    </row>
    <row r="65" spans="1:16" ht="20" customHeight="1">
      <c r="A65" s="219" t="str">
        <f>'BASE PAX'!A40</f>
        <v>FLOTADA FAMILIAR</v>
      </c>
      <c r="B65" s="224">
        <f>'BASE PAX'!B40</f>
        <v>0</v>
      </c>
      <c r="C65" s="196">
        <f>'BASE PAX'!C40</f>
        <v>60000</v>
      </c>
      <c r="D65" s="220">
        <f t="shared" si="10"/>
        <v>72000</v>
      </c>
      <c r="E65" s="220">
        <f t="shared" si="11"/>
        <v>0</v>
      </c>
      <c r="F65" s="196">
        <f t="shared" si="12"/>
        <v>0</v>
      </c>
      <c r="G65" s="190">
        <f t="shared" si="13"/>
        <v>0</v>
      </c>
    </row>
    <row r="66" spans="1:16" ht="20" customHeight="1">
      <c r="A66" s="219" t="str">
        <f>'BASE PAX'!A41</f>
        <v>RAFTING 1/2 DAY</v>
      </c>
      <c r="B66" s="224">
        <f>'BASE PAX'!B41</f>
        <v>0</v>
      </c>
      <c r="C66" s="196">
        <f>'BASE PAX'!C41</f>
        <v>75000</v>
      </c>
      <c r="D66" s="220">
        <f t="shared" si="10"/>
        <v>90000</v>
      </c>
      <c r="E66" s="220">
        <f t="shared" si="11"/>
        <v>0</v>
      </c>
      <c r="F66" s="196">
        <f t="shared" si="12"/>
        <v>0</v>
      </c>
      <c r="G66" s="190">
        <f t="shared" si="13"/>
        <v>0</v>
      </c>
    </row>
    <row r="67" spans="1:16" ht="20" customHeight="1">
      <c r="A67" s="219" t="str">
        <f>'BASE PAX'!A42</f>
        <v>RAFTING FULL DAY</v>
      </c>
      <c r="B67" s="224">
        <f>'BASE PAX'!B42</f>
        <v>0</v>
      </c>
      <c r="C67" s="196">
        <f>'BASE PAX'!C42</f>
        <v>110000</v>
      </c>
      <c r="D67" s="220">
        <f t="shared" si="10"/>
        <v>132000</v>
      </c>
      <c r="E67" s="220">
        <f t="shared" si="11"/>
        <v>0</v>
      </c>
      <c r="F67" s="196">
        <f t="shared" si="12"/>
        <v>0</v>
      </c>
      <c r="G67" s="190">
        <f t="shared" si="13"/>
        <v>0</v>
      </c>
    </row>
    <row r="68" spans="1:16" ht="20" customHeight="1">
      <c r="A68" s="219" t="str">
        <f>'BASE PAX'!A43</f>
        <v>CABALGADA 1/2 DAy</v>
      </c>
      <c r="B68" s="224">
        <f>'BASE PAX'!B43</f>
        <v>0</v>
      </c>
      <c r="C68" s="196">
        <f>'BASE PAX'!C43</f>
        <v>90000</v>
      </c>
      <c r="D68" s="220">
        <f t="shared" si="10"/>
        <v>108000</v>
      </c>
      <c r="E68" s="220">
        <f t="shared" si="11"/>
        <v>0</v>
      </c>
      <c r="F68" s="196">
        <f t="shared" si="12"/>
        <v>0</v>
      </c>
      <c r="G68" s="190">
        <f t="shared" si="13"/>
        <v>0</v>
      </c>
    </row>
    <row r="69" spans="1:16" ht="20" customHeight="1">
      <c r="A69" s="219" t="str">
        <f>'BASE PAX'!A44</f>
        <v>CABALGADA FULL DAY</v>
      </c>
      <c r="B69" s="224">
        <f>'BASE PAX'!B44</f>
        <v>0</v>
      </c>
      <c r="C69" s="196">
        <f>'BASE PAX'!C44</f>
        <v>140000</v>
      </c>
      <c r="D69" s="220">
        <f t="shared" si="10"/>
        <v>168000</v>
      </c>
      <c r="E69" s="220">
        <f t="shared" si="11"/>
        <v>0</v>
      </c>
      <c r="F69" s="196">
        <f t="shared" si="12"/>
        <v>0</v>
      </c>
      <c r="G69" s="190">
        <f t="shared" si="13"/>
        <v>0</v>
      </c>
    </row>
    <row r="70" spans="1:16" ht="20" customHeight="1">
      <c r="A70" s="219" t="str">
        <f>'BASE PAX'!A45</f>
        <v>LANCHA YELCHO</v>
      </c>
      <c r="B70" s="224">
        <f>'BASE PAX'!B45</f>
        <v>0</v>
      </c>
      <c r="C70" s="196">
        <f>'BASE PAX'!C45</f>
        <v>120000</v>
      </c>
      <c r="D70" s="220">
        <f t="shared" si="10"/>
        <v>144000</v>
      </c>
      <c r="E70" s="220">
        <f t="shared" si="11"/>
        <v>0</v>
      </c>
      <c r="F70" s="196">
        <f t="shared" si="12"/>
        <v>0</v>
      </c>
      <c r="G70" s="190">
        <f t="shared" si="13"/>
        <v>0</v>
      </c>
    </row>
    <row r="71" spans="1:16" ht="20" customHeight="1" thickBot="1">
      <c r="A71" s="221" t="str">
        <f>'BASE PAX'!A46</f>
        <v>RECREACAO INFANTIL 3HS</v>
      </c>
      <c r="B71" s="224">
        <f>'BASE PAX'!B46</f>
        <v>0</v>
      </c>
      <c r="C71" s="197">
        <f>'BASE PAX'!C46</f>
        <v>30000</v>
      </c>
      <c r="D71" s="220">
        <f t="shared" si="10"/>
        <v>36000</v>
      </c>
      <c r="E71" s="222">
        <f t="shared" si="11"/>
        <v>0</v>
      </c>
      <c r="F71" s="197">
        <f t="shared" si="12"/>
        <v>0</v>
      </c>
      <c r="G71" s="192">
        <f t="shared" si="13"/>
        <v>0</v>
      </c>
    </row>
    <row r="72" spans="1:16" ht="48" customHeight="1" thickBot="1">
      <c r="A72" s="22" t="s">
        <v>84</v>
      </c>
      <c r="B72" s="79"/>
      <c r="C72" s="128"/>
      <c r="D72" s="128"/>
      <c r="E72" s="198">
        <f>SUM(E62:E71)</f>
        <v>0</v>
      </c>
      <c r="F72" s="204">
        <f t="shared" si="12"/>
        <v>0</v>
      </c>
      <c r="G72" s="203">
        <f t="shared" si="13"/>
        <v>0</v>
      </c>
    </row>
    <row r="73" spans="1:16" ht="37" customHeight="1" thickBot="1"/>
    <row r="74" spans="1:16" s="8" customFormat="1" ht="36" customHeight="1" thickBot="1">
      <c r="A74" s="23" t="s">
        <v>116</v>
      </c>
      <c r="B74" s="214" t="s">
        <v>52</v>
      </c>
      <c r="C74" s="215" t="s">
        <v>53</v>
      </c>
      <c r="D74" s="153" t="s">
        <v>54</v>
      </c>
      <c r="E74" s="153" t="s">
        <v>55</v>
      </c>
      <c r="F74" s="143" t="s">
        <v>162</v>
      </c>
      <c r="G74" s="147" t="s">
        <v>159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 ht="20" customHeight="1">
      <c r="A75" s="88" t="str">
        <f>'BASE PAX'!A50</f>
        <v>TRANSFER AEROPORTO CHEGADA</v>
      </c>
      <c r="B75" s="211">
        <f>'BASE PAX'!B50</f>
        <v>0</v>
      </c>
      <c r="C75" s="213">
        <f>'BASE PAX'!C50</f>
        <v>80000</v>
      </c>
      <c r="D75" s="231">
        <f>C75*0.2+C75</f>
        <v>96000</v>
      </c>
      <c r="E75" s="231">
        <f>D75*B75</f>
        <v>0</v>
      </c>
      <c r="F75" s="210">
        <f>B75*C75</f>
        <v>0</v>
      </c>
      <c r="G75" s="199">
        <f t="shared" ref="G75:G80" si="14">E75-F75</f>
        <v>0</v>
      </c>
    </row>
    <row r="76" spans="1:16" ht="20" customHeight="1">
      <c r="A76" s="88" t="str">
        <f>'BASE PAX'!A51</f>
        <v>TRANSFER AEROPORTO PARTIDA</v>
      </c>
      <c r="B76" s="211">
        <f>'BASE PAX'!B51</f>
        <v>0</v>
      </c>
      <c r="C76" s="212">
        <f>'BASE PAX'!C51</f>
        <v>80000</v>
      </c>
      <c r="D76" s="232">
        <f>C76*0.2+C76</f>
        <v>96000</v>
      </c>
      <c r="E76" s="232">
        <f>D76*B76</f>
        <v>0</v>
      </c>
      <c r="F76" s="210">
        <f>B76*C76</f>
        <v>0</v>
      </c>
      <c r="G76" s="200">
        <f t="shared" si="14"/>
        <v>0</v>
      </c>
    </row>
    <row r="77" spans="1:16" ht="20" customHeight="1">
      <c r="A77" s="88" t="str">
        <f>'BASE PAX'!A52</f>
        <v>TRANSFERS INTERNO</v>
      </c>
      <c r="B77" s="211">
        <f>'BASE PAX'!B52</f>
        <v>0</v>
      </c>
      <c r="C77" s="212">
        <f>'BASE PAX'!C52</f>
        <v>18000</v>
      </c>
      <c r="D77" s="232">
        <f>C77*0.2+C77</f>
        <v>21600</v>
      </c>
      <c r="E77" s="232">
        <f>D77*B77</f>
        <v>0</v>
      </c>
      <c r="F77" s="210">
        <f>B77*C77</f>
        <v>0</v>
      </c>
      <c r="G77" s="200">
        <f t="shared" si="14"/>
        <v>0</v>
      </c>
    </row>
    <row r="78" spans="1:16" ht="20" customHeight="1">
      <c r="A78" s="88" t="str">
        <f>'BASE PAX'!A53</f>
        <v>EXTRAS 1</v>
      </c>
      <c r="B78" s="211">
        <f>'BASE PAX'!B53</f>
        <v>0</v>
      </c>
      <c r="C78" s="212">
        <f>'BASE PAX'!C53</f>
        <v>150000</v>
      </c>
      <c r="D78" s="232">
        <f>C78*0.2+C78</f>
        <v>180000</v>
      </c>
      <c r="E78" s="232">
        <f>D78*B78</f>
        <v>0</v>
      </c>
      <c r="F78" s="210">
        <f>B78*C78</f>
        <v>0</v>
      </c>
      <c r="G78" s="200">
        <f t="shared" si="14"/>
        <v>0</v>
      </c>
    </row>
    <row r="79" spans="1:16" ht="20" customHeight="1" thickBot="1">
      <c r="A79" s="218" t="str">
        <f>'BASE PAX'!A54</f>
        <v>EXTRAS 2</v>
      </c>
      <c r="B79" s="211">
        <f>'BASE PAX'!B54</f>
        <v>0</v>
      </c>
      <c r="C79" s="216">
        <f>'BASE PAX'!C54</f>
        <v>0</v>
      </c>
      <c r="D79" s="233">
        <f>C79*0.2+C79</f>
        <v>0</v>
      </c>
      <c r="E79" s="233">
        <f>D79*B79</f>
        <v>0</v>
      </c>
      <c r="F79" s="217">
        <f>B79*C79</f>
        <v>0</v>
      </c>
      <c r="G79" s="201">
        <f t="shared" si="14"/>
        <v>0</v>
      </c>
    </row>
    <row r="80" spans="1:16" ht="44" customHeight="1" thickBot="1">
      <c r="A80" s="23" t="s">
        <v>89</v>
      </c>
      <c r="B80" s="80"/>
      <c r="C80" s="130"/>
      <c r="D80" s="130"/>
      <c r="E80" s="131">
        <f>SUM(E75:E79)</f>
        <v>0</v>
      </c>
      <c r="F80" s="131">
        <f>SUM(F75:F79)</f>
        <v>0</v>
      </c>
      <c r="G80" s="203">
        <f t="shared" si="14"/>
        <v>0</v>
      </c>
    </row>
    <row r="81" spans="1:16" s="8" customFormat="1" ht="11" customHeight="1" thickBot="1">
      <c r="A81" s="16"/>
      <c r="B81" s="56"/>
      <c r="C81" s="105"/>
      <c r="D81" s="102"/>
      <c r="E81" s="102"/>
      <c r="F81" s="7"/>
      <c r="G81" s="17"/>
      <c r="H81" s="7"/>
      <c r="I81" s="7"/>
      <c r="J81" s="7"/>
      <c r="K81" s="7"/>
      <c r="L81" s="7"/>
      <c r="M81" s="7"/>
      <c r="N81" s="7"/>
      <c r="O81" s="7"/>
      <c r="P81" s="7"/>
    </row>
    <row r="82" spans="1:16" s="9" customFormat="1" ht="42" customHeight="1" thickBot="1">
      <c r="A82" s="246" t="s">
        <v>117</v>
      </c>
      <c r="B82" s="247" t="s">
        <v>52</v>
      </c>
      <c r="C82" s="248" t="s">
        <v>53</v>
      </c>
      <c r="D82" s="249" t="s">
        <v>54</v>
      </c>
      <c r="E82" s="249" t="s">
        <v>55</v>
      </c>
      <c r="F82" s="248" t="s">
        <v>162</v>
      </c>
      <c r="G82" s="147" t="s">
        <v>159</v>
      </c>
    </row>
    <row r="83" spans="1:16" ht="20" customHeight="1">
      <c r="A83" s="81" t="str">
        <f>'BASE PAX'!A58</f>
        <v>WS INSTRUCTOR</v>
      </c>
      <c r="B83" s="238">
        <f>'BASE PAX'!B58</f>
        <v>0</v>
      </c>
      <c r="C83" s="239">
        <f>'BASE PAX'!C58</f>
        <v>3415000</v>
      </c>
      <c r="D83" s="240">
        <f>(C83*0.15)+C83</f>
        <v>3927250</v>
      </c>
      <c r="E83" s="240">
        <f>D83*B83</f>
        <v>0</v>
      </c>
      <c r="F83" s="234">
        <f>B83*C83</f>
        <v>0</v>
      </c>
      <c r="G83" s="199">
        <f>E83-F83</f>
        <v>0</v>
      </c>
    </row>
    <row r="84" spans="1:16" ht="20" customHeight="1">
      <c r="A84" s="81" t="str">
        <f>'BASE PAX'!A59</f>
        <v>PRODUCER FEE</v>
      </c>
      <c r="B84" s="235">
        <f>'BASE PAX'!B59</f>
        <v>0</v>
      </c>
      <c r="C84" s="236">
        <f>'BASE PAX'!C59</f>
        <v>180000</v>
      </c>
      <c r="D84" s="237">
        <f>(C84*0.15)+C84</f>
        <v>207000</v>
      </c>
      <c r="E84" s="237">
        <f>D84*B84</f>
        <v>0</v>
      </c>
      <c r="F84" s="234">
        <f>B84*C84</f>
        <v>0</v>
      </c>
      <c r="G84" s="200">
        <f>E84-F84</f>
        <v>0</v>
      </c>
    </row>
    <row r="85" spans="1:16" ht="20" customHeight="1" thickBot="1">
      <c r="A85" s="241">
        <f>'BASE PAX'!A60</f>
        <v>0</v>
      </c>
      <c r="B85" s="242">
        <f>'BASE PAX'!B60</f>
        <v>0</v>
      </c>
      <c r="C85" s="243">
        <f>'BASE PAX'!C60</f>
        <v>20000</v>
      </c>
      <c r="D85" s="244">
        <f>(C85*0.15)+C85</f>
        <v>23000</v>
      </c>
      <c r="E85" s="244">
        <f>D85*B85</f>
        <v>0</v>
      </c>
      <c r="F85" s="245">
        <f>B85*C85</f>
        <v>0</v>
      </c>
      <c r="G85" s="201">
        <f>E85-F85</f>
        <v>0</v>
      </c>
    </row>
    <row r="86" spans="1:16" ht="41" customHeight="1" thickBot="1">
      <c r="A86" s="24" t="s">
        <v>163</v>
      </c>
      <c r="B86" s="82"/>
      <c r="C86" s="132"/>
      <c r="D86" s="132"/>
      <c r="E86" s="133">
        <f>SUM(E83:E85)</f>
        <v>0</v>
      </c>
      <c r="F86" s="133">
        <f>SUM(F81:F85)</f>
        <v>0</v>
      </c>
      <c r="G86" s="203">
        <f>E86-F86</f>
        <v>0</v>
      </c>
    </row>
    <row r="87" spans="1:16" s="8" customFormat="1" ht="11" customHeight="1" thickBot="1">
      <c r="A87" s="16"/>
      <c r="B87" s="56"/>
      <c r="C87" s="105"/>
      <c r="D87" s="102"/>
      <c r="E87" s="102"/>
      <c r="F87" s="7"/>
      <c r="G87" s="17"/>
      <c r="H87" s="7"/>
      <c r="I87" s="7"/>
      <c r="J87" s="7"/>
      <c r="K87" s="7"/>
      <c r="L87" s="7"/>
      <c r="M87" s="7"/>
      <c r="N87" s="7"/>
      <c r="O87" s="7"/>
      <c r="P87" s="7"/>
    </row>
    <row r="88" spans="1:16" ht="38" customHeight="1" thickBot="1">
      <c r="A88" s="258" t="s">
        <v>164</v>
      </c>
      <c r="B88" s="259" t="s">
        <v>92</v>
      </c>
      <c r="C88" s="250" t="s">
        <v>53</v>
      </c>
      <c r="D88" s="260" t="s">
        <v>54</v>
      </c>
      <c r="E88" s="260" t="s">
        <v>55</v>
      </c>
      <c r="F88" s="250"/>
      <c r="G88" s="147" t="s">
        <v>159</v>
      </c>
    </row>
    <row r="89" spans="1:16" ht="20" customHeight="1">
      <c r="A89" s="255" t="str">
        <f>'BASE PAX'!A64</f>
        <v>COORDENAÇÃO PRODUÇÃO</v>
      </c>
      <c r="B89" s="256">
        <f>'BASE PAX'!B64</f>
        <v>0</v>
      </c>
      <c r="C89" s="257">
        <f>'BASE PAX'!C64</f>
        <v>50000</v>
      </c>
      <c r="D89" s="257">
        <f>'BASE PAX'!D64</f>
        <v>0</v>
      </c>
      <c r="E89" s="121">
        <f>D89*B89</f>
        <v>0</v>
      </c>
      <c r="F89" s="257"/>
      <c r="G89" s="199">
        <f t="shared" ref="G89:G94" si="15">E89*0.2</f>
        <v>0</v>
      </c>
    </row>
    <row r="90" spans="1:16" ht="20" customHeight="1">
      <c r="A90" s="251" t="str">
        <f>'BASE PAX'!A65</f>
        <v>EXTRA MÃO DE OBRA</v>
      </c>
      <c r="B90" s="256">
        <f>'BASE PAX'!B65</f>
        <v>0</v>
      </c>
      <c r="C90" s="253">
        <f>'BASE PAX'!C65</f>
        <v>50000</v>
      </c>
      <c r="D90" s="253">
        <f>'BASE PAX'!D65</f>
        <v>0</v>
      </c>
      <c r="E90" s="121">
        <f t="shared" ref="E90:E94" si="16">D90*B90</f>
        <v>0</v>
      </c>
      <c r="F90" s="253"/>
      <c r="G90" s="199">
        <f t="shared" si="15"/>
        <v>0</v>
      </c>
    </row>
    <row r="91" spans="1:16" ht="20" customHeight="1">
      <c r="A91" s="251" t="str">
        <f>'BASE PAX'!A66</f>
        <v>TAXA LIMPEZA CHECK IN / CHECKOUT</v>
      </c>
      <c r="B91" s="252">
        <f>'BASE PAX'!B66</f>
        <v>0</v>
      </c>
      <c r="C91" s="253">
        <f>'BASE PAX'!C66</f>
        <v>40000</v>
      </c>
      <c r="D91" s="253">
        <f>'BASE PAX'!D66</f>
        <v>0</v>
      </c>
      <c r="E91" s="121">
        <f t="shared" si="16"/>
        <v>0</v>
      </c>
      <c r="F91" s="253"/>
      <c r="G91" s="199">
        <f t="shared" si="15"/>
        <v>0</v>
      </c>
    </row>
    <row r="92" spans="1:16" ht="20" customHeight="1">
      <c r="A92" s="251" t="str">
        <f>'BASE PAX'!A67</f>
        <v>TAXA LIMPEZA DIARIA</v>
      </c>
      <c r="B92" s="254">
        <f>'BASE PAX'!B67</f>
        <v>0</v>
      </c>
      <c r="C92" s="253">
        <f>'BASE PAX'!C67</f>
        <v>30000</v>
      </c>
      <c r="D92" s="253">
        <f>'BASE PAX'!D67</f>
        <v>0</v>
      </c>
      <c r="E92" s="121">
        <f t="shared" si="16"/>
        <v>0</v>
      </c>
      <c r="F92" s="253"/>
      <c r="G92" s="199">
        <f t="shared" si="15"/>
        <v>0</v>
      </c>
    </row>
    <row r="93" spans="1:16" ht="20" customHeight="1">
      <c r="A93" s="251" t="str">
        <f>'BASE PAX'!A68</f>
        <v>SOUVENIR</v>
      </c>
      <c r="B93" s="252">
        <f>'BASE PAX'!B68</f>
        <v>0</v>
      </c>
      <c r="C93" s="253">
        <f>'BASE PAX'!C68</f>
        <v>15000</v>
      </c>
      <c r="D93" s="253">
        <f>'BASE PAX'!D68</f>
        <v>0</v>
      </c>
      <c r="E93" s="121">
        <f t="shared" si="16"/>
        <v>0</v>
      </c>
      <c r="F93" s="253"/>
      <c r="G93" s="199">
        <f t="shared" si="15"/>
        <v>0</v>
      </c>
    </row>
    <row r="94" spans="1:16" ht="20" customHeight="1" thickBot="1">
      <c r="A94" s="251" t="str">
        <f>'BASE PAX'!A69</f>
        <v>ASSISTENTE COORDENAÇÃO</v>
      </c>
      <c r="B94" s="256">
        <f>'BASE PAX'!B69</f>
        <v>0</v>
      </c>
      <c r="C94" s="253">
        <f>'BASE PAX'!C69</f>
        <v>30000</v>
      </c>
      <c r="D94" s="253">
        <f>'BASE PAX'!D69</f>
        <v>0</v>
      </c>
      <c r="E94" s="121">
        <f t="shared" si="16"/>
        <v>0</v>
      </c>
      <c r="F94" s="253"/>
      <c r="G94" s="199">
        <f t="shared" si="15"/>
        <v>0</v>
      </c>
    </row>
    <row r="95" spans="1:16" ht="41" customHeight="1" thickBot="1">
      <c r="A95" s="25" t="s">
        <v>101</v>
      </c>
      <c r="B95" s="83"/>
      <c r="C95" s="134"/>
      <c r="D95" s="134"/>
      <c r="E95" s="135">
        <f>SUM(E89:E94)</f>
        <v>0</v>
      </c>
      <c r="F95" s="135"/>
      <c r="G95" s="203">
        <f>SUM(G89:G94)</f>
        <v>0</v>
      </c>
    </row>
    <row r="96" spans="1:16" s="8" customFormat="1" ht="11" customHeight="1" thickBot="1">
      <c r="A96" s="16"/>
      <c r="B96" s="56"/>
      <c r="C96" s="105"/>
      <c r="D96" s="102"/>
      <c r="E96" s="102"/>
      <c r="F96" s="7"/>
      <c r="G96" s="17"/>
      <c r="H96" s="7"/>
      <c r="I96" s="7"/>
      <c r="J96" s="7"/>
      <c r="K96" s="7"/>
      <c r="L96" s="7"/>
      <c r="M96" s="7"/>
      <c r="N96" s="7"/>
      <c r="O96" s="7"/>
      <c r="P96" s="7"/>
    </row>
    <row r="97" spans="1:16" ht="38" customHeight="1" thickBot="1">
      <c r="A97" s="26" t="s">
        <v>165</v>
      </c>
      <c r="B97" s="27" t="s">
        <v>92</v>
      </c>
      <c r="C97" s="136" t="s">
        <v>53</v>
      </c>
      <c r="D97" s="136" t="s">
        <v>54</v>
      </c>
      <c r="E97" s="137" t="s">
        <v>55</v>
      </c>
      <c r="F97" s="20"/>
      <c r="G97" s="20"/>
    </row>
    <row r="98" spans="1:16" ht="23" customHeight="1" thickBot="1">
      <c r="A98" s="84" t="str">
        <f>'BASE PAX'!A73</f>
        <v xml:space="preserve">QUINCHO DAY USE / CABIN </v>
      </c>
      <c r="B98" s="85">
        <f>'BASE PAX'!B73</f>
        <v>0</v>
      </c>
      <c r="C98" s="138">
        <f>'BASE PAX'!C73</f>
        <v>15000</v>
      </c>
      <c r="D98" s="138">
        <f>C98+(C98*0.2)</f>
        <v>18000</v>
      </c>
      <c r="E98" s="139">
        <f>D98*B98</f>
        <v>0</v>
      </c>
      <c r="F98" s="19"/>
      <c r="G98" s="17"/>
    </row>
    <row r="99" spans="1:16" ht="42" customHeight="1" thickBot="1">
      <c r="A99" s="26" t="s">
        <v>104</v>
      </c>
      <c r="B99" s="86"/>
      <c r="C99" s="140"/>
      <c r="D99" s="140"/>
      <c r="E99" s="141">
        <f>E98</f>
        <v>0</v>
      </c>
    </row>
    <row r="100" spans="1:16" s="6" customFormat="1" ht="20" customHeight="1">
      <c r="A100" s="28"/>
      <c r="B100" s="52"/>
      <c r="C100" s="11"/>
      <c r="D100" s="11"/>
      <c r="E100" s="11"/>
      <c r="F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9" customHeight="1"/>
  </sheetData>
  <sheetProtection sheet="1" objects="1" scenarios="1"/>
  <mergeCells count="18">
    <mergeCell ref="A11:A12"/>
    <mergeCell ref="D5:F5"/>
    <mergeCell ref="A28:D28"/>
    <mergeCell ref="B5:C5"/>
    <mergeCell ref="F20:F21"/>
    <mergeCell ref="B11:B12"/>
    <mergeCell ref="D11:D12"/>
    <mergeCell ref="B9:C9"/>
    <mergeCell ref="D9:E9"/>
    <mergeCell ref="B8:C8"/>
    <mergeCell ref="D8:E8"/>
    <mergeCell ref="D6:E6"/>
    <mergeCell ref="B6:C6"/>
    <mergeCell ref="I11:K11"/>
    <mergeCell ref="D7:E7"/>
    <mergeCell ref="B7:C7"/>
    <mergeCell ref="F11:G13"/>
    <mergeCell ref="G20:G21"/>
  </mergeCells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3"/>
  <dimension ref="A1:P101"/>
  <sheetViews>
    <sheetView topLeftCell="A2" zoomScale="120" zoomScaleNormal="120" workbookViewId="0">
      <selection activeCell="C92" sqref="C92"/>
    </sheetView>
  </sheetViews>
  <sheetFormatPr baseColWidth="10" defaultColWidth="11" defaultRowHeight="17"/>
  <cols>
    <col min="1" max="1" width="48.796875" style="7" customWidth="1"/>
    <col min="2" max="2" width="23.796875" style="52" customWidth="1"/>
    <col min="3" max="3" width="24" style="7" customWidth="1"/>
    <col min="4" max="4" width="22.796875" style="12" customWidth="1"/>
    <col min="5" max="5" width="22.19921875" style="11" customWidth="1"/>
    <col min="6" max="6" width="31" style="7" customWidth="1"/>
    <col min="7" max="7" width="27.796875" style="6" customWidth="1"/>
    <col min="8" max="8" width="32.3984375" style="7" customWidth="1"/>
    <col min="9" max="9" width="23.59765625" style="7" customWidth="1"/>
    <col min="10" max="10" width="25.19921875" style="7" customWidth="1"/>
    <col min="11" max="11" width="28.796875" style="7" customWidth="1"/>
    <col min="12" max="12" width="36.19921875" style="7" customWidth="1"/>
    <col min="13" max="28" width="11" style="7" customWidth="1"/>
    <col min="29" max="16384" width="11" style="7"/>
  </cols>
  <sheetData>
    <row r="1" spans="1:16" ht="22" hidden="1" customHeight="1" thickBot="1"/>
    <row r="2" spans="1:16" ht="7" customHeight="1">
      <c r="D2" s="13"/>
    </row>
    <row r="3" spans="1:16" s="10" customFormat="1" ht="1" customHeight="1">
      <c r="A3" s="14"/>
      <c r="B3" s="53"/>
      <c r="C3" s="15" t="s">
        <v>11</v>
      </c>
      <c r="D3" s="15"/>
      <c r="E3" s="15"/>
      <c r="G3" s="9"/>
    </row>
    <row r="4" spans="1:16" s="10" customFormat="1" ht="19" customHeight="1">
      <c r="A4" s="14"/>
      <c r="B4" s="53"/>
      <c r="C4" s="15"/>
      <c r="D4" s="15"/>
      <c r="E4" s="15"/>
      <c r="G4" s="9"/>
    </row>
    <row r="5" spans="1:16" s="10" customFormat="1" ht="55" customHeight="1">
      <c r="A5" s="54" t="s">
        <v>129</v>
      </c>
      <c r="B5" s="674">
        <v>2</v>
      </c>
      <c r="C5" s="675"/>
      <c r="D5" s="739" t="s">
        <v>14</v>
      </c>
      <c r="E5" s="675"/>
      <c r="F5" s="675"/>
      <c r="G5" s="9"/>
    </row>
    <row r="6" spans="1:16" s="8" customFormat="1" ht="37" customHeight="1">
      <c r="A6" s="54" t="s">
        <v>130</v>
      </c>
      <c r="B6" s="683">
        <v>0</v>
      </c>
      <c r="C6" s="684"/>
      <c r="D6" s="682" t="s">
        <v>131</v>
      </c>
      <c r="E6" s="661"/>
      <c r="F6" s="106">
        <f>D21</f>
        <v>0</v>
      </c>
      <c r="G6" s="9"/>
      <c r="H6" s="10"/>
    </row>
    <row r="7" spans="1:16" s="8" customFormat="1" ht="33" customHeight="1">
      <c r="A7" s="55" t="s">
        <v>132</v>
      </c>
      <c r="B7" s="662">
        <f>CALENDAR!C2</f>
        <v>0</v>
      </c>
      <c r="C7" s="661"/>
      <c r="D7" s="660" t="s">
        <v>133</v>
      </c>
      <c r="E7" s="661"/>
      <c r="F7" s="107">
        <f>SUM(F12:F20)</f>
        <v>0</v>
      </c>
      <c r="G7" s="9"/>
      <c r="H7" s="10"/>
    </row>
    <row r="8" spans="1:16" s="8" customFormat="1" ht="31" customHeight="1">
      <c r="A8" s="54" t="s">
        <v>134</v>
      </c>
      <c r="B8" s="680">
        <f>CALENDAR!C3</f>
        <v>0</v>
      </c>
      <c r="C8" s="661"/>
      <c r="D8" s="681" t="s">
        <v>135</v>
      </c>
      <c r="E8" s="661"/>
      <c r="F8" s="108">
        <f>F6-F7</f>
        <v>0</v>
      </c>
      <c r="G8" s="9"/>
      <c r="H8" s="10"/>
    </row>
    <row r="9" spans="1:16" s="8" customFormat="1" ht="32" customHeight="1">
      <c r="A9" s="55" t="s">
        <v>136</v>
      </c>
      <c r="B9" s="678">
        <f>CALENDAR!J2</f>
        <v>0</v>
      </c>
      <c r="C9" s="661"/>
      <c r="D9" s="679" t="s">
        <v>137</v>
      </c>
      <c r="E9" s="661"/>
      <c r="F9" s="1"/>
      <c r="G9" s="9"/>
      <c r="H9" s="10"/>
    </row>
    <row r="10" spans="1:16" s="8" customFormat="1" ht="30" customHeight="1" thickBot="1">
      <c r="A10" s="16"/>
      <c r="B10" s="56"/>
      <c r="C10" s="6"/>
      <c r="D10" s="7"/>
      <c r="E10" s="7"/>
      <c r="F10" s="7"/>
      <c r="G10" s="17"/>
      <c r="H10" s="7"/>
      <c r="I10" s="7"/>
      <c r="J10" s="7"/>
      <c r="K10" s="7"/>
      <c r="L10" s="7"/>
      <c r="M10" s="7"/>
      <c r="N10" s="7"/>
      <c r="O10" s="7"/>
      <c r="P10" s="7"/>
    </row>
    <row r="11" spans="1:16" s="6" customFormat="1" ht="44" customHeight="1" thickBot="1">
      <c r="A11" s="671" t="s">
        <v>138</v>
      </c>
      <c r="B11" s="677" t="s">
        <v>139</v>
      </c>
      <c r="C11" s="57" t="s">
        <v>140</v>
      </c>
      <c r="D11" s="677" t="s">
        <v>141</v>
      </c>
      <c r="E11" s="7"/>
      <c r="F11" s="738" t="str">
        <f>D5</f>
        <v>CORCOVADO</v>
      </c>
      <c r="G11" s="664"/>
      <c r="H11" s="7"/>
      <c r="I11" s="658" t="s">
        <v>142</v>
      </c>
      <c r="J11" s="659"/>
      <c r="K11" s="659"/>
      <c r="L11" s="7"/>
      <c r="M11" s="7"/>
      <c r="N11" s="7"/>
      <c r="O11" s="7"/>
      <c r="P11" s="7"/>
    </row>
    <row r="12" spans="1:16" s="6" customFormat="1" ht="32" customHeight="1">
      <c r="A12" s="659"/>
      <c r="B12" s="659"/>
      <c r="C12" s="58">
        <v>0.05</v>
      </c>
      <c r="D12" s="659"/>
      <c r="E12" s="7"/>
      <c r="F12" s="665"/>
      <c r="G12" s="666"/>
      <c r="H12" s="7"/>
      <c r="I12" s="59" t="s">
        <v>126</v>
      </c>
      <c r="J12" s="60" t="s">
        <v>143</v>
      </c>
      <c r="K12" s="60" t="s">
        <v>144</v>
      </c>
      <c r="L12" s="7"/>
      <c r="M12" s="7"/>
      <c r="N12" s="7"/>
      <c r="O12" s="7"/>
      <c r="P12" s="7"/>
    </row>
    <row r="13" spans="1:16" ht="22" customHeight="1" thickBot="1">
      <c r="A13" s="61" t="s">
        <v>15</v>
      </c>
      <c r="B13" s="109">
        <f>G28</f>
        <v>0</v>
      </c>
      <c r="C13" s="109">
        <f t="shared" ref="C13:C20" si="0">B13*$C$12</f>
        <v>0</v>
      </c>
      <c r="D13" s="109">
        <f t="shared" ref="D13:D20" si="1">B13+(B13*$C$12)</f>
        <v>0</v>
      </c>
      <c r="E13" s="7"/>
      <c r="F13" s="667"/>
      <c r="G13" s="668"/>
      <c r="I13" s="3"/>
      <c r="J13" s="4"/>
      <c r="K13" s="5"/>
    </row>
    <row r="14" spans="1:16" s="6" customFormat="1" ht="20" customHeight="1">
      <c r="A14" s="62" t="s">
        <v>16</v>
      </c>
      <c r="B14" s="110">
        <f>J49</f>
        <v>0</v>
      </c>
      <c r="C14" s="110">
        <f t="shared" si="0"/>
        <v>0</v>
      </c>
      <c r="D14" s="110">
        <f t="shared" si="1"/>
        <v>0</v>
      </c>
      <c r="E14" s="7"/>
      <c r="F14" s="271" t="str">
        <f t="shared" ref="F14:F19" si="2">A14</f>
        <v>2.FOOD</v>
      </c>
      <c r="G14" s="261">
        <f>G49</f>
        <v>0</v>
      </c>
      <c r="H14" s="7"/>
      <c r="I14" s="3"/>
      <c r="J14" s="4"/>
      <c r="K14" s="5"/>
      <c r="L14" s="7"/>
      <c r="M14" s="7"/>
      <c r="N14" s="7"/>
      <c r="O14" s="7"/>
      <c r="P14" s="7"/>
    </row>
    <row r="15" spans="1:16" s="6" customFormat="1" ht="20" customHeight="1">
      <c r="A15" s="63" t="s">
        <v>17</v>
      </c>
      <c r="B15" s="111">
        <f>E59</f>
        <v>0</v>
      </c>
      <c r="C15" s="111">
        <f t="shared" si="0"/>
        <v>0</v>
      </c>
      <c r="D15" s="111">
        <f t="shared" si="1"/>
        <v>0</v>
      </c>
      <c r="E15" s="7"/>
      <c r="F15" s="272" t="str">
        <f t="shared" si="2"/>
        <v>3.DRINKS</v>
      </c>
      <c r="G15" s="262">
        <f>G59</f>
        <v>0</v>
      </c>
      <c r="H15" s="7"/>
      <c r="I15" s="3"/>
      <c r="J15" s="4"/>
      <c r="K15" s="5"/>
      <c r="L15" s="7"/>
      <c r="M15" s="7"/>
      <c r="N15" s="7"/>
      <c r="O15" s="7"/>
      <c r="P15" s="7"/>
    </row>
    <row r="16" spans="1:16" s="6" customFormat="1" ht="20" customHeight="1">
      <c r="A16" s="55" t="s">
        <v>18</v>
      </c>
      <c r="B16" s="112">
        <f>$E$72</f>
        <v>0</v>
      </c>
      <c r="C16" s="112">
        <f t="shared" si="0"/>
        <v>0</v>
      </c>
      <c r="D16" s="112">
        <f t="shared" si="1"/>
        <v>0</v>
      </c>
      <c r="E16" s="7"/>
      <c r="F16" s="273" t="str">
        <f t="shared" si="2"/>
        <v>4. ACTIVITIES</v>
      </c>
      <c r="G16" s="263">
        <f>G72</f>
        <v>0</v>
      </c>
      <c r="H16" s="7"/>
      <c r="I16" s="3"/>
      <c r="J16" s="4"/>
      <c r="K16" s="5"/>
      <c r="L16" s="7"/>
      <c r="M16" s="7"/>
      <c r="N16" s="7"/>
      <c r="O16" s="7"/>
      <c r="P16" s="7"/>
    </row>
    <row r="17" spans="1:16" s="6" customFormat="1" ht="20" customHeight="1">
      <c r="A17" s="63" t="s">
        <v>19</v>
      </c>
      <c r="B17" s="111">
        <f>$E$80</f>
        <v>0</v>
      </c>
      <c r="C17" s="111">
        <f t="shared" si="0"/>
        <v>0</v>
      </c>
      <c r="D17" s="111">
        <f t="shared" si="1"/>
        <v>0</v>
      </c>
      <c r="E17" s="7"/>
      <c r="F17" s="274" t="str">
        <f t="shared" si="2"/>
        <v>5.TRANSPORT</v>
      </c>
      <c r="G17" s="174">
        <f>G80</f>
        <v>0</v>
      </c>
      <c r="H17" s="7"/>
      <c r="I17" s="3"/>
      <c r="J17" s="4"/>
      <c r="K17" s="5"/>
      <c r="L17" s="7"/>
      <c r="M17" s="7"/>
      <c r="N17" s="7"/>
      <c r="O17" s="7"/>
      <c r="P17" s="7"/>
    </row>
    <row r="18" spans="1:16" s="6" customFormat="1" ht="20" customHeight="1">
      <c r="A18" s="64" t="s">
        <v>20</v>
      </c>
      <c r="B18" s="113">
        <f>$E$86</f>
        <v>0</v>
      </c>
      <c r="C18" s="113">
        <f t="shared" si="0"/>
        <v>0</v>
      </c>
      <c r="D18" s="113">
        <f t="shared" si="1"/>
        <v>0</v>
      </c>
      <c r="E18" s="10"/>
      <c r="F18" s="275" t="str">
        <f t="shared" si="2"/>
        <v>6.EXPERIENCES</v>
      </c>
      <c r="G18" s="264">
        <f>G86</f>
        <v>0</v>
      </c>
      <c r="H18" s="7"/>
      <c r="I18" s="3"/>
      <c r="J18" s="4"/>
      <c r="K18" s="5"/>
      <c r="L18" s="7"/>
      <c r="M18" s="7"/>
      <c r="N18" s="7"/>
      <c r="O18" s="7"/>
      <c r="P18" s="7"/>
    </row>
    <row r="19" spans="1:16" s="6" customFormat="1" ht="20" customHeight="1">
      <c r="A19" s="65" t="s">
        <v>21</v>
      </c>
      <c r="B19" s="114">
        <f>$E$95</f>
        <v>0</v>
      </c>
      <c r="C19" s="114">
        <f t="shared" si="0"/>
        <v>0</v>
      </c>
      <c r="D19" s="114">
        <f t="shared" si="1"/>
        <v>0</v>
      </c>
      <c r="E19" s="7"/>
      <c r="F19" s="276" t="str">
        <f t="shared" si="2"/>
        <v>7.EXTRAS</v>
      </c>
      <c r="G19" s="151">
        <f>G95</f>
        <v>0</v>
      </c>
      <c r="H19" s="7"/>
      <c r="I19" s="3"/>
      <c r="J19" s="4"/>
      <c r="K19" s="5"/>
      <c r="L19" s="7"/>
      <c r="M19" s="7"/>
      <c r="N19" s="7"/>
      <c r="O19" s="7"/>
      <c r="P19" s="7"/>
    </row>
    <row r="20" spans="1:16" s="6" customFormat="1" ht="20" customHeight="1" thickBot="1">
      <c r="A20" s="66" t="s">
        <v>22</v>
      </c>
      <c r="B20" s="115">
        <f>$E$99</f>
        <v>0</v>
      </c>
      <c r="C20" s="115">
        <f t="shared" si="0"/>
        <v>0</v>
      </c>
      <c r="D20" s="115">
        <f t="shared" si="1"/>
        <v>0</v>
      </c>
      <c r="E20" s="7"/>
      <c r="F20" s="676" t="s">
        <v>145</v>
      </c>
      <c r="G20" s="669">
        <f>G14+G15+G16+G17+G18+G19</f>
        <v>0</v>
      </c>
      <c r="H20" s="7"/>
      <c r="I20" s="3"/>
      <c r="J20" s="4"/>
      <c r="K20" s="5"/>
      <c r="L20" s="7"/>
      <c r="M20" s="7"/>
      <c r="N20" s="7"/>
      <c r="O20" s="7"/>
      <c r="P20" s="7"/>
    </row>
    <row r="21" spans="1:16" ht="35" customHeight="1" thickBot="1">
      <c r="A21" s="67" t="s">
        <v>146</v>
      </c>
      <c r="B21" s="116">
        <f>SUM(B13:B20)</f>
        <v>0</v>
      </c>
      <c r="C21" s="116"/>
      <c r="D21" s="116">
        <f>SUM(D13:D20)</f>
        <v>0</v>
      </c>
      <c r="E21" s="51"/>
      <c r="F21" s="670"/>
      <c r="G21" s="670"/>
    </row>
    <row r="22" spans="1:16" s="8" customFormat="1" ht="11" customHeight="1" thickBot="1">
      <c r="A22" s="16"/>
      <c r="B22" s="56"/>
      <c r="C22" s="6"/>
      <c r="D22" s="7"/>
      <c r="E22" s="7"/>
      <c r="F22" s="7"/>
      <c r="G22" s="17"/>
      <c r="H22" s="7"/>
      <c r="I22" s="7"/>
      <c r="J22" s="7"/>
      <c r="K22" s="7"/>
      <c r="L22" s="7"/>
      <c r="M22" s="7"/>
      <c r="N22" s="7"/>
      <c r="O22" s="7"/>
      <c r="P22" s="7"/>
    </row>
    <row r="23" spans="1:16" ht="44" customHeight="1" thickBot="1">
      <c r="A23" s="68" t="s">
        <v>114</v>
      </c>
      <c r="B23" s="69" t="s">
        <v>52</v>
      </c>
      <c r="C23" s="69" t="s">
        <v>147</v>
      </c>
      <c r="D23" s="69" t="s">
        <v>148</v>
      </c>
      <c r="E23" s="70" t="s">
        <v>149</v>
      </c>
      <c r="F23" s="70" t="s">
        <v>150</v>
      </c>
      <c r="G23" s="70" t="s">
        <v>151</v>
      </c>
    </row>
    <row r="24" spans="1:16" ht="20" customHeight="1">
      <c r="A24" s="71" t="s">
        <v>174</v>
      </c>
      <c r="B24" s="93">
        <v>1</v>
      </c>
      <c r="C24" s="117">
        <f>398381.8</f>
        <v>398381.8</v>
      </c>
      <c r="D24" s="118"/>
      <c r="E24" s="119">
        <f>(C24+D24)*$B$9*B24</f>
        <v>0</v>
      </c>
      <c r="F24" s="2">
        <v>0</v>
      </c>
      <c r="G24" s="119">
        <f>E24-(E24*F24)</f>
        <v>0</v>
      </c>
    </row>
    <row r="25" spans="1:16" ht="20" customHeight="1">
      <c r="A25" s="71" t="s">
        <v>175</v>
      </c>
      <c r="B25" s="93">
        <v>0</v>
      </c>
      <c r="C25" s="117">
        <f>398381.8</f>
        <v>398381.8</v>
      </c>
      <c r="D25" s="118">
        <v>50000</v>
      </c>
      <c r="E25" s="119">
        <f>(C25+D25)*$B$9*B25</f>
        <v>0</v>
      </c>
      <c r="F25" s="2">
        <v>0</v>
      </c>
      <c r="G25" s="119">
        <f>E25-(E25*F25)</f>
        <v>0</v>
      </c>
    </row>
    <row r="26" spans="1:16" ht="20" customHeight="1">
      <c r="A26" s="71" t="s">
        <v>176</v>
      </c>
      <c r="B26" s="93">
        <v>0</v>
      </c>
      <c r="C26" s="117">
        <f>358543.62</f>
        <v>358543.62</v>
      </c>
      <c r="D26" s="118"/>
      <c r="E26" s="119">
        <f>(C26+D26)*$B$9*B26</f>
        <v>0</v>
      </c>
      <c r="F26" s="2">
        <v>0</v>
      </c>
      <c r="G26" s="119">
        <f>E26-(E26*F26)</f>
        <v>0</v>
      </c>
    </row>
    <row r="27" spans="1:16" ht="20" customHeight="1" thickBot="1">
      <c r="A27" s="71" t="s">
        <v>177</v>
      </c>
      <c r="B27" s="93">
        <v>0</v>
      </c>
      <c r="C27" s="117">
        <f>358543.62</f>
        <v>358543.62</v>
      </c>
      <c r="D27" s="118">
        <v>50000</v>
      </c>
      <c r="E27" s="119">
        <f>(C27+D27)*$B$9*B27</f>
        <v>0</v>
      </c>
      <c r="F27" s="2">
        <v>0</v>
      </c>
      <c r="G27" s="119">
        <f>E27-(E27*F27)</f>
        <v>0</v>
      </c>
    </row>
    <row r="28" spans="1:16" ht="29" customHeight="1" thickBot="1">
      <c r="A28" s="672" t="s">
        <v>156</v>
      </c>
      <c r="B28" s="673"/>
      <c r="C28" s="673"/>
      <c r="D28" s="673"/>
      <c r="E28" s="72"/>
      <c r="F28" s="73"/>
      <c r="G28" s="120">
        <f>SUM(G24:G27)</f>
        <v>0</v>
      </c>
    </row>
    <row r="29" spans="1:16" s="8" customFormat="1" ht="11" customHeight="1" thickBot="1">
      <c r="A29" s="16"/>
      <c r="B29" s="56"/>
      <c r="C29" s="6"/>
      <c r="D29" s="7"/>
      <c r="E29" s="7"/>
      <c r="F29" s="7"/>
      <c r="G29" s="17"/>
      <c r="H29" s="7"/>
      <c r="I29" s="7"/>
      <c r="J29" s="7"/>
      <c r="K29" s="7"/>
      <c r="L29" s="7"/>
      <c r="M29" s="7"/>
      <c r="N29" s="7"/>
      <c r="O29" s="7"/>
      <c r="P29" s="7"/>
    </row>
    <row r="30" spans="1:16" s="10" customFormat="1" ht="40" customHeight="1" thickBot="1">
      <c r="A30" s="18" t="s">
        <v>51</v>
      </c>
      <c r="B30" s="159" t="s">
        <v>52</v>
      </c>
      <c r="C30" s="160" t="s">
        <v>53</v>
      </c>
      <c r="D30" s="153" t="s">
        <v>54</v>
      </c>
      <c r="E30" s="149" t="s">
        <v>157</v>
      </c>
      <c r="F30" s="103" t="s">
        <v>158</v>
      </c>
      <c r="G30" s="147" t="s">
        <v>159</v>
      </c>
    </row>
    <row r="31" spans="1:16" ht="20" customHeight="1" thickBot="1">
      <c r="A31" s="154" t="str">
        <f>'BASE PAX'!A6</f>
        <v>BREAKFAST</v>
      </c>
      <c r="B31" s="285">
        <f>(B5*B9*'BASE PAX'!G6)+('BASE PAX'!H6*B6*B9)</f>
        <v>0</v>
      </c>
      <c r="C31" s="121"/>
      <c r="D31" s="144"/>
      <c r="E31" s="283">
        <v>0</v>
      </c>
      <c r="F31" s="122">
        <f t="shared" ref="F31:F46" si="3">B31*C31</f>
        <v>0</v>
      </c>
      <c r="G31" s="325">
        <f>0.2*B31</f>
        <v>0</v>
      </c>
      <c r="H31" s="351" t="str">
        <f>A31</f>
        <v>BREAKFAST</v>
      </c>
      <c r="I31" s="356">
        <f>B31</f>
        <v>0</v>
      </c>
    </row>
    <row r="32" spans="1:16" ht="20" customHeight="1">
      <c r="A32" s="155" t="str">
        <f>'BASE PAX'!A7</f>
        <v>LUNCH 1</v>
      </c>
      <c r="B32" s="74">
        <f>($B$5+$B$6)*'BASE PAX'!B7</f>
        <v>0</v>
      </c>
      <c r="C32" s="123">
        <f>'BASE PAX'!C7</f>
        <v>40000</v>
      </c>
      <c r="D32" s="125">
        <f>'BASE PAX'!D7</f>
        <v>48000</v>
      </c>
      <c r="E32" s="151">
        <f t="shared" ref="E32:E46" si="4">D32*B32</f>
        <v>0</v>
      </c>
      <c r="F32" s="124">
        <f t="shared" si="3"/>
        <v>0</v>
      </c>
      <c r="G32" s="146">
        <f t="shared" ref="G32:G46" si="5">E32-F32</f>
        <v>0</v>
      </c>
      <c r="I32" s="10"/>
    </row>
    <row r="33" spans="1:11" ht="20" customHeight="1">
      <c r="A33" s="155" t="str">
        <f>'BASE PAX'!A8</f>
        <v>LUNCH 2</v>
      </c>
      <c r="B33" s="74">
        <f>($B$5+$B$6)*'BASE PAX'!B8</f>
        <v>0</v>
      </c>
      <c r="C33" s="123">
        <f>'BASE PAX'!C8</f>
        <v>40000</v>
      </c>
      <c r="D33" s="125">
        <f>'BASE PAX'!D8</f>
        <v>48000</v>
      </c>
      <c r="E33" s="151">
        <f t="shared" si="4"/>
        <v>0</v>
      </c>
      <c r="F33" s="124">
        <f t="shared" si="3"/>
        <v>0</v>
      </c>
      <c r="G33" s="146">
        <f t="shared" si="5"/>
        <v>0</v>
      </c>
      <c r="I33" s="10"/>
    </row>
    <row r="34" spans="1:11" ht="20" customHeight="1">
      <c r="A34" s="155" t="str">
        <f>'BASE PAX'!A9</f>
        <v>LUNCH 3</v>
      </c>
      <c r="B34" s="74">
        <f>($B$5+$B$6)*'BASE PAX'!B9</f>
        <v>0</v>
      </c>
      <c r="C34" s="123">
        <f>'BASE PAX'!C9</f>
        <v>40000</v>
      </c>
      <c r="D34" s="125">
        <f>'BASE PAX'!D9</f>
        <v>48000</v>
      </c>
      <c r="E34" s="151">
        <f t="shared" si="4"/>
        <v>0</v>
      </c>
      <c r="F34" s="124">
        <f t="shared" si="3"/>
        <v>0</v>
      </c>
      <c r="G34" s="146">
        <f t="shared" si="5"/>
        <v>0</v>
      </c>
      <c r="I34" s="10"/>
    </row>
    <row r="35" spans="1:11" ht="20" customHeight="1">
      <c r="A35" s="155" t="str">
        <f>'BASE PAX'!A10</f>
        <v>LUNCH 4</v>
      </c>
      <c r="B35" s="74">
        <f>($B$5+$B$6)*'BASE PAX'!B10</f>
        <v>0</v>
      </c>
      <c r="C35" s="123">
        <f>'BASE PAX'!C10</f>
        <v>45000</v>
      </c>
      <c r="D35" s="125">
        <f>'BASE PAX'!D10</f>
        <v>54000</v>
      </c>
      <c r="E35" s="151">
        <f t="shared" si="4"/>
        <v>0</v>
      </c>
      <c r="F35" s="124">
        <f t="shared" si="3"/>
        <v>0</v>
      </c>
      <c r="G35" s="146">
        <f t="shared" si="5"/>
        <v>0</v>
      </c>
      <c r="I35" s="10"/>
    </row>
    <row r="36" spans="1:11" ht="20" customHeight="1">
      <c r="A36" s="155" t="str">
        <f>'BASE PAX'!A11</f>
        <v>LUNCH 5</v>
      </c>
      <c r="B36" s="74">
        <f>($B$5+$B$6)*'BASE PAX'!B11</f>
        <v>0</v>
      </c>
      <c r="C36" s="123">
        <f>'BASE PAX'!C11</f>
        <v>50000</v>
      </c>
      <c r="D36" s="125">
        <f>'BASE PAX'!D11</f>
        <v>60000</v>
      </c>
      <c r="E36" s="151">
        <f t="shared" si="4"/>
        <v>0</v>
      </c>
      <c r="F36" s="124">
        <f t="shared" si="3"/>
        <v>0</v>
      </c>
      <c r="G36" s="146">
        <f t="shared" si="5"/>
        <v>0</v>
      </c>
      <c r="I36" s="10"/>
    </row>
    <row r="37" spans="1:11" ht="20" customHeight="1">
      <c r="A37" s="155" t="str">
        <f>'BASE PAX'!A12</f>
        <v>LUNCH 6</v>
      </c>
      <c r="B37" s="74">
        <f>($B$5+$B$6)*'BASE PAX'!B12</f>
        <v>0</v>
      </c>
      <c r="C37" s="123">
        <f>'BASE PAX'!C12</f>
        <v>0</v>
      </c>
      <c r="D37" s="125">
        <f>'BASE PAX'!D12</f>
        <v>0</v>
      </c>
      <c r="E37" s="151">
        <f t="shared" si="4"/>
        <v>0</v>
      </c>
      <c r="F37" s="124">
        <f t="shared" si="3"/>
        <v>0</v>
      </c>
      <c r="G37" s="146">
        <f t="shared" si="5"/>
        <v>0</v>
      </c>
      <c r="I37" s="10"/>
    </row>
    <row r="38" spans="1:11" ht="20" customHeight="1">
      <c r="A38" s="155" t="str">
        <f>'BASE PAX'!A13</f>
        <v>LUNCH 7</v>
      </c>
      <c r="B38" s="74">
        <f>($B$5+$B$6)*'BASE PAX'!B13</f>
        <v>0</v>
      </c>
      <c r="C38" s="123">
        <f>'BASE PAX'!C13</f>
        <v>5000</v>
      </c>
      <c r="D38" s="125">
        <f>'BASE PAX'!D13</f>
        <v>6000</v>
      </c>
      <c r="E38" s="151">
        <f t="shared" si="4"/>
        <v>0</v>
      </c>
      <c r="F38" s="124">
        <f t="shared" si="3"/>
        <v>0</v>
      </c>
      <c r="G38" s="146">
        <f t="shared" si="5"/>
        <v>0</v>
      </c>
      <c r="I38" s="10"/>
    </row>
    <row r="39" spans="1:11" ht="20" customHeight="1">
      <c r="A39" s="156" t="str">
        <f>'BASE PAX'!A14</f>
        <v>SNACKS</v>
      </c>
      <c r="B39" s="75">
        <f>($B$5+$B$6)*'BASE PAX'!B14</f>
        <v>0</v>
      </c>
      <c r="C39" s="125">
        <f>'BASE PAX'!C14</f>
        <v>8000</v>
      </c>
      <c r="D39" s="145">
        <f>'BASE PAX'!D14</f>
        <v>9600</v>
      </c>
      <c r="E39" s="150">
        <f t="shared" si="4"/>
        <v>0</v>
      </c>
      <c r="F39" s="122">
        <f t="shared" si="3"/>
        <v>0</v>
      </c>
      <c r="G39" s="146">
        <f t="shared" si="5"/>
        <v>0</v>
      </c>
      <c r="I39" s="10"/>
    </row>
    <row r="40" spans="1:11" ht="20" customHeight="1">
      <c r="A40" s="155" t="str">
        <f>'BASE PAX'!A15</f>
        <v>DINNER 1</v>
      </c>
      <c r="B40" s="74">
        <f>($B$5+$B$6)*'BASE PAX'!B15</f>
        <v>0</v>
      </c>
      <c r="C40" s="123">
        <f>'BASE PAX'!C15</f>
        <v>70000</v>
      </c>
      <c r="D40" s="125">
        <f>'BASE PAX'!D15</f>
        <v>84000</v>
      </c>
      <c r="E40" s="151">
        <f t="shared" si="4"/>
        <v>0</v>
      </c>
      <c r="F40" s="124">
        <f t="shared" si="3"/>
        <v>0</v>
      </c>
      <c r="G40" s="146">
        <f t="shared" si="5"/>
        <v>0</v>
      </c>
      <c r="I40" s="10"/>
    </row>
    <row r="41" spans="1:11" ht="20" customHeight="1">
      <c r="A41" s="155" t="str">
        <f>'BASE PAX'!A16</f>
        <v>DINNER 2</v>
      </c>
      <c r="B41" s="74">
        <f>($B$5+$B$6)*'BASE PAX'!B16</f>
        <v>0</v>
      </c>
      <c r="C41" s="123">
        <f>'BASE PAX'!C16</f>
        <v>25000</v>
      </c>
      <c r="D41" s="125">
        <f>'BASE PAX'!D16</f>
        <v>30000</v>
      </c>
      <c r="E41" s="151">
        <f t="shared" si="4"/>
        <v>0</v>
      </c>
      <c r="F41" s="124">
        <f t="shared" si="3"/>
        <v>0</v>
      </c>
      <c r="G41" s="146">
        <f t="shared" si="5"/>
        <v>0</v>
      </c>
      <c r="I41" s="10"/>
    </row>
    <row r="42" spans="1:11" ht="20" customHeight="1">
      <c r="A42" s="155" t="str">
        <f>'BASE PAX'!A17</f>
        <v>DINNER 3</v>
      </c>
      <c r="B42" s="74">
        <f>($B$5+$B$6)*'BASE PAX'!B17</f>
        <v>0</v>
      </c>
      <c r="C42" s="123">
        <f>'BASE PAX'!C17</f>
        <v>50000</v>
      </c>
      <c r="D42" s="125">
        <f>'BASE PAX'!D17</f>
        <v>60000</v>
      </c>
      <c r="E42" s="151">
        <f t="shared" si="4"/>
        <v>0</v>
      </c>
      <c r="F42" s="124">
        <f t="shared" si="3"/>
        <v>0</v>
      </c>
      <c r="G42" s="146">
        <f t="shared" si="5"/>
        <v>0</v>
      </c>
      <c r="I42" s="10"/>
    </row>
    <row r="43" spans="1:11" ht="20" customHeight="1">
      <c r="A43" s="155" t="str">
        <f>'BASE PAX'!A18</f>
        <v>DINNER 4</v>
      </c>
      <c r="B43" s="74">
        <f>($B$5+$B$6)*'BASE PAX'!B18</f>
        <v>0</v>
      </c>
      <c r="C43" s="123">
        <f>'BASE PAX'!C18</f>
        <v>65000</v>
      </c>
      <c r="D43" s="125">
        <f>'BASE PAX'!D18</f>
        <v>78000</v>
      </c>
      <c r="E43" s="151">
        <f t="shared" si="4"/>
        <v>0</v>
      </c>
      <c r="F43" s="124">
        <f t="shared" si="3"/>
        <v>0</v>
      </c>
      <c r="G43" s="146">
        <f t="shared" si="5"/>
        <v>0</v>
      </c>
      <c r="I43" s="10"/>
    </row>
    <row r="44" spans="1:11" ht="20" customHeight="1">
      <c r="A44" s="155" t="str">
        <f>'BASE PAX'!A19</f>
        <v>DINNER 5</v>
      </c>
      <c r="B44" s="74">
        <f>($B$5+$B$6)*'BASE PAX'!B19</f>
        <v>0</v>
      </c>
      <c r="C44" s="123">
        <f>'BASE PAX'!C19</f>
        <v>75000</v>
      </c>
      <c r="D44" s="125">
        <f>'BASE PAX'!D19</f>
        <v>90000</v>
      </c>
      <c r="E44" s="151">
        <f t="shared" si="4"/>
        <v>0</v>
      </c>
      <c r="F44" s="124">
        <f t="shared" si="3"/>
        <v>0</v>
      </c>
      <c r="G44" s="146">
        <f t="shared" si="5"/>
        <v>0</v>
      </c>
      <c r="I44" s="10"/>
    </row>
    <row r="45" spans="1:11" ht="20" customHeight="1">
      <c r="A45" s="155" t="str">
        <f>'BASE PAX'!A20</f>
        <v>DINNER 6</v>
      </c>
      <c r="B45" s="74">
        <f>($B$5+$B$6)*'BASE PAX'!B20</f>
        <v>0</v>
      </c>
      <c r="C45" s="123">
        <f>'BASE PAX'!C20</f>
        <v>0</v>
      </c>
      <c r="D45" s="125">
        <f>'BASE PAX'!D20</f>
        <v>0</v>
      </c>
      <c r="E45" s="151">
        <f t="shared" si="4"/>
        <v>0</v>
      </c>
      <c r="F45" s="124">
        <f t="shared" si="3"/>
        <v>0</v>
      </c>
      <c r="G45" s="146">
        <f t="shared" si="5"/>
        <v>0</v>
      </c>
      <c r="I45" s="10"/>
    </row>
    <row r="46" spans="1:11" ht="20" customHeight="1" thickBot="1">
      <c r="A46" s="155" t="str">
        <f>'BASE PAX'!A21</f>
        <v>DINNER 7</v>
      </c>
      <c r="B46" s="74">
        <f>($B$5+$B$6)*'BASE PAX'!B21</f>
        <v>0</v>
      </c>
      <c r="C46" s="123">
        <f>'BASE PAX'!C21</f>
        <v>75000</v>
      </c>
      <c r="D46" s="125">
        <f>'BASE PAX'!D21</f>
        <v>90000</v>
      </c>
      <c r="E46" s="151">
        <f t="shared" si="4"/>
        <v>0</v>
      </c>
      <c r="F46" s="124">
        <f t="shared" si="3"/>
        <v>0</v>
      </c>
      <c r="G46" s="146">
        <f t="shared" si="5"/>
        <v>0</v>
      </c>
      <c r="I46" s="10"/>
    </row>
    <row r="47" spans="1:11" ht="20" customHeight="1">
      <c r="A47" s="155" t="str">
        <f>'BASE PAX'!A22</f>
        <v>QUANT. TOTAL | PADRAO ALMOÇO</v>
      </c>
      <c r="B47" s="74">
        <f>'BASE PAX'!B22</f>
        <v>0</v>
      </c>
      <c r="C47" s="123"/>
      <c r="D47" s="125"/>
      <c r="E47" s="151"/>
      <c r="F47" s="124"/>
      <c r="G47" s="325">
        <f>0.2*I47</f>
        <v>0</v>
      </c>
      <c r="H47" s="338" t="str">
        <f>A47</f>
        <v>QUANT. TOTAL | PADRAO ALMOÇO</v>
      </c>
      <c r="I47" s="349">
        <f>(B5*B47*'BASE PAX'!G22)+(B6*B47*'BASE PAX'!H22)</f>
        <v>0</v>
      </c>
      <c r="J47" s="328"/>
      <c r="K47" s="329"/>
    </row>
    <row r="48" spans="1:11" ht="20" customHeight="1" thickBot="1">
      <c r="A48" s="163" t="str">
        <f>'BASE PAX'!A23</f>
        <v>QUANT. TOTAL | PADRAO JANTAR</v>
      </c>
      <c r="B48" s="164">
        <f>'BASE PAX'!B23</f>
        <v>0</v>
      </c>
      <c r="C48" s="165"/>
      <c r="D48" s="166"/>
      <c r="E48" s="167"/>
      <c r="F48" s="168"/>
      <c r="G48" s="326">
        <f>0.2*I48</f>
        <v>0</v>
      </c>
      <c r="H48" s="347" t="str">
        <f>A48</f>
        <v>QUANT. TOTAL | PADRAO JANTAR</v>
      </c>
      <c r="I48" s="335">
        <f>(B5*B48*'BASE PAX'!G23)+(B6*B48*'BASE PAX'!H23)</f>
        <v>0</v>
      </c>
      <c r="J48" s="330"/>
      <c r="K48" s="331"/>
    </row>
    <row r="49" spans="1:16" ht="29" customHeight="1" thickBot="1">
      <c r="A49" s="161" t="s">
        <v>72</v>
      </c>
      <c r="B49" s="157"/>
      <c r="C49" s="158"/>
      <c r="D49" s="303"/>
      <c r="E49" s="104">
        <f>SUM(E31:E48)</f>
        <v>0</v>
      </c>
      <c r="F49" s="104">
        <f>SUM(F31:F48)</f>
        <v>0</v>
      </c>
      <c r="G49" s="327">
        <f>SUM(G31:G48)</f>
        <v>0</v>
      </c>
      <c r="H49" s="341" t="s">
        <v>55</v>
      </c>
      <c r="I49" s="342">
        <f>I31+I47+I48</f>
        <v>0</v>
      </c>
      <c r="J49" s="358">
        <f>I49+E49</f>
        <v>0</v>
      </c>
      <c r="K49" s="332" t="s">
        <v>160</v>
      </c>
    </row>
    <row r="50" spans="1:16" s="8" customFormat="1" ht="11" customHeight="1" thickBot="1">
      <c r="A50" s="16"/>
      <c r="B50" s="56"/>
      <c r="C50" s="105"/>
      <c r="D50" s="102"/>
      <c r="E50" s="102"/>
      <c r="F50" s="7"/>
      <c r="G50" s="17"/>
      <c r="H50" s="7"/>
      <c r="I50" s="7"/>
      <c r="J50" s="7"/>
      <c r="K50" s="7"/>
      <c r="L50" s="7"/>
      <c r="M50" s="7"/>
      <c r="N50" s="7"/>
      <c r="O50" s="7"/>
      <c r="P50" s="7"/>
    </row>
    <row r="51" spans="1:16" ht="34" customHeight="1" thickBot="1">
      <c r="A51" s="21" t="s">
        <v>161</v>
      </c>
      <c r="B51" s="207" t="s">
        <v>52</v>
      </c>
      <c r="C51" s="208" t="s">
        <v>53</v>
      </c>
      <c r="D51" s="209" t="s">
        <v>54</v>
      </c>
      <c r="E51" s="172" t="s">
        <v>55</v>
      </c>
      <c r="F51" s="142" t="s">
        <v>158</v>
      </c>
      <c r="G51" s="182" t="s">
        <v>159</v>
      </c>
    </row>
    <row r="52" spans="1:16" ht="20" customHeight="1">
      <c r="A52" s="76" t="str">
        <f>'BASE PAX'!A27</f>
        <v>SUCOS</v>
      </c>
      <c r="B52" s="205">
        <f>'BASE PAX'!B27</f>
        <v>0</v>
      </c>
      <c r="C52" s="193">
        <f>'BASE PAX'!C27</f>
        <v>0</v>
      </c>
      <c r="D52" s="206">
        <f t="shared" ref="D52:D58" si="6">(C52*0.2)+C52</f>
        <v>0</v>
      </c>
      <c r="E52" s="174">
        <f t="shared" ref="E52:E58" si="7">D52*B52</f>
        <v>0</v>
      </c>
      <c r="F52" s="173">
        <f t="shared" ref="F52:F58" si="8">B52*C52</f>
        <v>0</v>
      </c>
      <c r="G52" s="183">
        <f t="shared" ref="G52:G59" si="9">E52-F52</f>
        <v>0</v>
      </c>
    </row>
    <row r="53" spans="1:16" ht="20" customHeight="1">
      <c r="A53" s="76" t="str">
        <f>'BASE PAX'!A28</f>
        <v>SUCOS</v>
      </c>
      <c r="B53" s="205">
        <f>'BASE PAX'!B28</f>
        <v>0</v>
      </c>
      <c r="C53" s="175">
        <f>'BASE PAX'!C28</f>
        <v>0</v>
      </c>
      <c r="D53" s="176">
        <f t="shared" si="6"/>
        <v>0</v>
      </c>
      <c r="E53" s="174">
        <f t="shared" si="7"/>
        <v>0</v>
      </c>
      <c r="F53" s="173">
        <f t="shared" si="8"/>
        <v>0</v>
      </c>
      <c r="G53" s="183">
        <f t="shared" si="9"/>
        <v>0</v>
      </c>
    </row>
    <row r="54" spans="1:16" ht="20" customHeight="1">
      <c r="A54" s="87" t="str">
        <f>'BASE PAX'!A29</f>
        <v>CERVEJAS</v>
      </c>
      <c r="B54" s="205">
        <f>'BASE PAX'!B29</f>
        <v>0</v>
      </c>
      <c r="C54" s="175">
        <f>'BASE PAX'!C29</f>
        <v>2000</v>
      </c>
      <c r="D54" s="176">
        <f t="shared" si="6"/>
        <v>2400</v>
      </c>
      <c r="E54" s="174">
        <f t="shared" si="7"/>
        <v>0</v>
      </c>
      <c r="F54" s="173">
        <f t="shared" si="8"/>
        <v>0</v>
      </c>
      <c r="G54" s="183">
        <f t="shared" si="9"/>
        <v>0</v>
      </c>
    </row>
    <row r="55" spans="1:16" ht="20" customHeight="1">
      <c r="A55" s="87" t="str">
        <f>'BASE PAX'!A30</f>
        <v>VINHOS</v>
      </c>
      <c r="B55" s="205">
        <f>'BASE PAX'!B30</f>
        <v>0</v>
      </c>
      <c r="C55" s="175">
        <f>'BASE PAX'!C30</f>
        <v>8000</v>
      </c>
      <c r="D55" s="176">
        <f t="shared" si="6"/>
        <v>9600</v>
      </c>
      <c r="E55" s="174">
        <f t="shared" si="7"/>
        <v>0</v>
      </c>
      <c r="F55" s="173">
        <f t="shared" si="8"/>
        <v>0</v>
      </c>
      <c r="G55" s="183">
        <f t="shared" si="9"/>
        <v>0</v>
      </c>
    </row>
    <row r="56" spans="1:16" ht="20" customHeight="1">
      <c r="A56" s="87" t="str">
        <f>'BASE PAX'!A31</f>
        <v>DRINKS</v>
      </c>
      <c r="B56" s="205">
        <f>'BASE PAX'!B31</f>
        <v>0</v>
      </c>
      <c r="C56" s="175">
        <f>'BASE PAX'!C31</f>
        <v>15000</v>
      </c>
      <c r="D56" s="176">
        <f t="shared" si="6"/>
        <v>18000</v>
      </c>
      <c r="E56" s="174">
        <f t="shared" si="7"/>
        <v>0</v>
      </c>
      <c r="F56" s="173">
        <f t="shared" si="8"/>
        <v>0</v>
      </c>
      <c r="G56" s="183">
        <f t="shared" si="9"/>
        <v>0</v>
      </c>
    </row>
    <row r="57" spans="1:16" ht="20" customHeight="1">
      <c r="A57" s="87" t="str">
        <f>'BASE PAX'!A32</f>
        <v>COOLER</v>
      </c>
      <c r="B57" s="205">
        <f>'BASE PAX'!B32</f>
        <v>0</v>
      </c>
      <c r="C57" s="175">
        <f>'BASE PAX'!C32</f>
        <v>5000</v>
      </c>
      <c r="D57" s="176">
        <f t="shared" si="6"/>
        <v>6000</v>
      </c>
      <c r="E57" s="174">
        <f t="shared" si="7"/>
        <v>0</v>
      </c>
      <c r="F57" s="173">
        <f t="shared" si="8"/>
        <v>0</v>
      </c>
      <c r="G57" s="183">
        <f t="shared" si="9"/>
        <v>0</v>
      </c>
    </row>
    <row r="58" spans="1:16" ht="20" customHeight="1" thickBot="1">
      <c r="A58" s="180">
        <f>'BASE PAX'!A33</f>
        <v>0</v>
      </c>
      <c r="B58" s="205">
        <f>'BASE PAX'!B33</f>
        <v>0</v>
      </c>
      <c r="C58" s="178">
        <f>'BASE PAX'!C33</f>
        <v>0</v>
      </c>
      <c r="D58" s="179">
        <f t="shared" si="6"/>
        <v>0</v>
      </c>
      <c r="E58" s="184">
        <f t="shared" si="7"/>
        <v>0</v>
      </c>
      <c r="F58" s="185">
        <f t="shared" si="8"/>
        <v>0</v>
      </c>
      <c r="G58" s="186">
        <f t="shared" si="9"/>
        <v>0</v>
      </c>
    </row>
    <row r="59" spans="1:16" ht="48" customHeight="1" thickBot="1">
      <c r="A59" s="21" t="s">
        <v>79</v>
      </c>
      <c r="B59" s="77"/>
      <c r="C59" s="126"/>
      <c r="D59" s="181"/>
      <c r="E59" s="127">
        <f>SUM(E52:E58)</f>
        <v>0</v>
      </c>
      <c r="F59" s="188">
        <f>SUM(F52:F58)</f>
        <v>0</v>
      </c>
      <c r="G59" s="189">
        <f t="shared" si="9"/>
        <v>0</v>
      </c>
    </row>
    <row r="60" spans="1:16" s="8" customFormat="1" ht="11" customHeight="1" thickBot="1">
      <c r="A60" s="16"/>
      <c r="B60" s="56"/>
      <c r="C60" s="105"/>
      <c r="D60" s="102"/>
      <c r="E60" s="102"/>
      <c r="F60" s="7"/>
      <c r="G60" s="17"/>
      <c r="H60" s="7"/>
      <c r="I60" s="7"/>
      <c r="J60" s="7"/>
      <c r="K60" s="7"/>
      <c r="L60" s="7"/>
      <c r="M60" s="7"/>
      <c r="N60" s="7"/>
      <c r="O60" s="7"/>
      <c r="P60" s="7"/>
    </row>
    <row r="61" spans="1:16" s="10" customFormat="1" ht="42" customHeight="1" thickBot="1">
      <c r="A61" s="226" t="s">
        <v>18</v>
      </c>
      <c r="B61" s="227" t="s">
        <v>52</v>
      </c>
      <c r="C61" s="228" t="s">
        <v>53</v>
      </c>
      <c r="D61" s="229" t="s">
        <v>54</v>
      </c>
      <c r="E61" s="229" t="s">
        <v>55</v>
      </c>
      <c r="F61" s="228" t="s">
        <v>158</v>
      </c>
      <c r="G61" s="230" t="s">
        <v>159</v>
      </c>
    </row>
    <row r="62" spans="1:16" ht="20" customHeight="1">
      <c r="A62" s="223" t="str">
        <f>'BASE PAX'!A37</f>
        <v>HOTTUBE</v>
      </c>
      <c r="B62" s="224">
        <f>'BASE PAX'!B37</f>
        <v>0</v>
      </c>
      <c r="C62" s="195">
        <f>'BASE PAX'!C37</f>
        <v>12000</v>
      </c>
      <c r="D62" s="225">
        <f t="shared" ref="D62:D71" si="10">C62*0.2+C62</f>
        <v>14400</v>
      </c>
      <c r="E62" s="225">
        <f t="shared" ref="E62:E71" si="11">D62*B62</f>
        <v>0</v>
      </c>
      <c r="F62" s="195">
        <f t="shared" ref="F62:F72" si="12">B62*C62</f>
        <v>0</v>
      </c>
      <c r="G62" s="194">
        <f t="shared" ref="G62:G72" si="13">E62-F62</f>
        <v>0</v>
      </c>
    </row>
    <row r="63" spans="1:16" ht="20" customHeight="1">
      <c r="A63" s="219" t="str">
        <f>'BASE PAX'!A38</f>
        <v>TREKKING 1/2 DAY</v>
      </c>
      <c r="B63" s="224">
        <f>'BASE PAX'!B38</f>
        <v>0</v>
      </c>
      <c r="C63" s="196">
        <f>'BASE PAX'!C38</f>
        <v>60000</v>
      </c>
      <c r="D63" s="220">
        <f t="shared" si="10"/>
        <v>72000</v>
      </c>
      <c r="E63" s="220">
        <f t="shared" si="11"/>
        <v>0</v>
      </c>
      <c r="F63" s="196">
        <f t="shared" si="12"/>
        <v>0</v>
      </c>
      <c r="G63" s="190">
        <f t="shared" si="13"/>
        <v>0</v>
      </c>
    </row>
    <row r="64" spans="1:16" ht="20" customHeight="1">
      <c r="A64" s="219" t="str">
        <f>'BASE PAX'!A39</f>
        <v>TREKKING FUK DAY</v>
      </c>
      <c r="B64" s="224">
        <f>'BASE PAX'!B39</f>
        <v>0</v>
      </c>
      <c r="C64" s="196">
        <f>'BASE PAX'!C39</f>
        <v>90000</v>
      </c>
      <c r="D64" s="220">
        <f t="shared" si="10"/>
        <v>108000</v>
      </c>
      <c r="E64" s="220">
        <f t="shared" si="11"/>
        <v>0</v>
      </c>
      <c r="F64" s="196">
        <f t="shared" si="12"/>
        <v>0</v>
      </c>
      <c r="G64" s="190">
        <f t="shared" si="13"/>
        <v>0</v>
      </c>
    </row>
    <row r="65" spans="1:16" ht="20" customHeight="1">
      <c r="A65" s="219" t="str">
        <f>'BASE PAX'!A40</f>
        <v>FLOTADA FAMILIAR</v>
      </c>
      <c r="B65" s="224">
        <f>'BASE PAX'!B40</f>
        <v>0</v>
      </c>
      <c r="C65" s="196">
        <f>'BASE PAX'!C40</f>
        <v>60000</v>
      </c>
      <c r="D65" s="220">
        <f t="shared" si="10"/>
        <v>72000</v>
      </c>
      <c r="E65" s="220">
        <f t="shared" si="11"/>
        <v>0</v>
      </c>
      <c r="F65" s="196">
        <f t="shared" si="12"/>
        <v>0</v>
      </c>
      <c r="G65" s="190">
        <f t="shared" si="13"/>
        <v>0</v>
      </c>
    </row>
    <row r="66" spans="1:16" ht="20" customHeight="1">
      <c r="A66" s="219" t="str">
        <f>'BASE PAX'!A41</f>
        <v>RAFTING 1/2 DAY</v>
      </c>
      <c r="B66" s="224">
        <f>'BASE PAX'!B41</f>
        <v>0</v>
      </c>
      <c r="C66" s="196">
        <f>'BASE PAX'!C41</f>
        <v>75000</v>
      </c>
      <c r="D66" s="220">
        <f t="shared" si="10"/>
        <v>90000</v>
      </c>
      <c r="E66" s="220">
        <f t="shared" si="11"/>
        <v>0</v>
      </c>
      <c r="F66" s="196">
        <f t="shared" si="12"/>
        <v>0</v>
      </c>
      <c r="G66" s="190">
        <f t="shared" si="13"/>
        <v>0</v>
      </c>
    </row>
    <row r="67" spans="1:16" ht="20" customHeight="1">
      <c r="A67" s="219" t="str">
        <f>'BASE PAX'!A42</f>
        <v>RAFTING FULL DAY</v>
      </c>
      <c r="B67" s="224">
        <f>'BASE PAX'!B42</f>
        <v>0</v>
      </c>
      <c r="C67" s="196">
        <f>'BASE PAX'!C42</f>
        <v>110000</v>
      </c>
      <c r="D67" s="220">
        <f t="shared" si="10"/>
        <v>132000</v>
      </c>
      <c r="E67" s="220">
        <f t="shared" si="11"/>
        <v>0</v>
      </c>
      <c r="F67" s="196">
        <f t="shared" si="12"/>
        <v>0</v>
      </c>
      <c r="G67" s="190">
        <f t="shared" si="13"/>
        <v>0</v>
      </c>
    </row>
    <row r="68" spans="1:16" ht="20" customHeight="1">
      <c r="A68" s="219" t="str">
        <f>'BASE PAX'!A43</f>
        <v>CABALGADA 1/2 DAy</v>
      </c>
      <c r="B68" s="224">
        <f>'BASE PAX'!B43</f>
        <v>0</v>
      </c>
      <c r="C68" s="196">
        <f>'BASE PAX'!C43</f>
        <v>90000</v>
      </c>
      <c r="D68" s="220">
        <f t="shared" si="10"/>
        <v>108000</v>
      </c>
      <c r="E68" s="220">
        <f t="shared" si="11"/>
        <v>0</v>
      </c>
      <c r="F68" s="196">
        <f t="shared" si="12"/>
        <v>0</v>
      </c>
      <c r="G68" s="190">
        <f t="shared" si="13"/>
        <v>0</v>
      </c>
    </row>
    <row r="69" spans="1:16" ht="20" customHeight="1">
      <c r="A69" s="219" t="str">
        <f>'BASE PAX'!A44</f>
        <v>CABALGADA FULL DAY</v>
      </c>
      <c r="B69" s="224">
        <f>'BASE PAX'!B44</f>
        <v>0</v>
      </c>
      <c r="C69" s="196">
        <f>'BASE PAX'!C44</f>
        <v>140000</v>
      </c>
      <c r="D69" s="220">
        <f t="shared" si="10"/>
        <v>168000</v>
      </c>
      <c r="E69" s="220">
        <f t="shared" si="11"/>
        <v>0</v>
      </c>
      <c r="F69" s="196">
        <f t="shared" si="12"/>
        <v>0</v>
      </c>
      <c r="G69" s="190">
        <f t="shared" si="13"/>
        <v>0</v>
      </c>
    </row>
    <row r="70" spans="1:16" ht="20" customHeight="1">
      <c r="A70" s="219" t="str">
        <f>'BASE PAX'!A45</f>
        <v>LANCHA YELCHO</v>
      </c>
      <c r="B70" s="224">
        <f>'BASE PAX'!B45</f>
        <v>0</v>
      </c>
      <c r="C70" s="196">
        <f>'BASE PAX'!C45</f>
        <v>120000</v>
      </c>
      <c r="D70" s="220">
        <f t="shared" si="10"/>
        <v>144000</v>
      </c>
      <c r="E70" s="220">
        <f t="shared" si="11"/>
        <v>0</v>
      </c>
      <c r="F70" s="196">
        <f t="shared" si="12"/>
        <v>0</v>
      </c>
      <c r="G70" s="190">
        <f t="shared" si="13"/>
        <v>0</v>
      </c>
    </row>
    <row r="71" spans="1:16" ht="20" customHeight="1" thickBot="1">
      <c r="A71" s="221" t="str">
        <f>'BASE PAX'!A46</f>
        <v>RECREACAO INFANTIL 3HS</v>
      </c>
      <c r="B71" s="224">
        <f>'BASE PAX'!B46</f>
        <v>0</v>
      </c>
      <c r="C71" s="197">
        <f>'BASE PAX'!C46</f>
        <v>30000</v>
      </c>
      <c r="D71" s="220">
        <f t="shared" si="10"/>
        <v>36000</v>
      </c>
      <c r="E71" s="222">
        <f t="shared" si="11"/>
        <v>0</v>
      </c>
      <c r="F71" s="197">
        <f t="shared" si="12"/>
        <v>0</v>
      </c>
      <c r="G71" s="192">
        <f t="shared" si="13"/>
        <v>0</v>
      </c>
    </row>
    <row r="72" spans="1:16" ht="48" customHeight="1" thickBot="1">
      <c r="A72" s="22" t="s">
        <v>84</v>
      </c>
      <c r="B72" s="79"/>
      <c r="C72" s="128"/>
      <c r="D72" s="128"/>
      <c r="E72" s="198">
        <f>SUM(E62:E71)</f>
        <v>0</v>
      </c>
      <c r="F72" s="204">
        <f t="shared" si="12"/>
        <v>0</v>
      </c>
      <c r="G72" s="203">
        <f t="shared" si="13"/>
        <v>0</v>
      </c>
    </row>
    <row r="73" spans="1:16" ht="37" customHeight="1" thickBot="1"/>
    <row r="74" spans="1:16" s="8" customFormat="1" ht="36" customHeight="1" thickBot="1">
      <c r="A74" s="23" t="s">
        <v>116</v>
      </c>
      <c r="B74" s="214" t="s">
        <v>52</v>
      </c>
      <c r="C74" s="215" t="s">
        <v>53</v>
      </c>
      <c r="D74" s="153" t="s">
        <v>54</v>
      </c>
      <c r="E74" s="153" t="s">
        <v>55</v>
      </c>
      <c r="F74" s="143" t="s">
        <v>162</v>
      </c>
      <c r="G74" s="147" t="s">
        <v>159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 ht="20" customHeight="1">
      <c r="A75" s="88" t="str">
        <f>'BASE PAX'!A50</f>
        <v>TRANSFER AEROPORTO CHEGADA</v>
      </c>
      <c r="B75" s="211">
        <f>'BASE PAX'!B50</f>
        <v>0</v>
      </c>
      <c r="C75" s="213">
        <f>'BASE PAX'!C50</f>
        <v>80000</v>
      </c>
      <c r="D75" s="231">
        <f>C75*0.2+C75</f>
        <v>96000</v>
      </c>
      <c r="E75" s="231">
        <f>D75*B75</f>
        <v>0</v>
      </c>
      <c r="F75" s="210">
        <f>B75*C75</f>
        <v>0</v>
      </c>
      <c r="G75" s="199">
        <f t="shared" ref="G75:G80" si="14">E75-F75</f>
        <v>0</v>
      </c>
    </row>
    <row r="76" spans="1:16" ht="20" customHeight="1">
      <c r="A76" s="88" t="str">
        <f>'BASE PAX'!A51</f>
        <v>TRANSFER AEROPORTO PARTIDA</v>
      </c>
      <c r="B76" s="211">
        <f>'BASE PAX'!B51</f>
        <v>0</v>
      </c>
      <c r="C76" s="212">
        <f>'BASE PAX'!C51</f>
        <v>80000</v>
      </c>
      <c r="D76" s="232">
        <f>C76*0.2+C76</f>
        <v>96000</v>
      </c>
      <c r="E76" s="232">
        <f>D76*B76</f>
        <v>0</v>
      </c>
      <c r="F76" s="210">
        <f>B76*C76</f>
        <v>0</v>
      </c>
      <c r="G76" s="200">
        <f t="shared" si="14"/>
        <v>0</v>
      </c>
    </row>
    <row r="77" spans="1:16" ht="20" customHeight="1">
      <c r="A77" s="88" t="str">
        <f>'BASE PAX'!A52</f>
        <v>TRANSFERS INTERNO</v>
      </c>
      <c r="B77" s="211">
        <f>'BASE PAX'!B52</f>
        <v>0</v>
      </c>
      <c r="C77" s="212">
        <f>'BASE PAX'!C52</f>
        <v>18000</v>
      </c>
      <c r="D77" s="232">
        <f>C77*0.2+C77</f>
        <v>21600</v>
      </c>
      <c r="E77" s="232">
        <f>D77*B77</f>
        <v>0</v>
      </c>
      <c r="F77" s="210">
        <f>B77*C77</f>
        <v>0</v>
      </c>
      <c r="G77" s="200">
        <f t="shared" si="14"/>
        <v>0</v>
      </c>
    </row>
    <row r="78" spans="1:16" ht="20" customHeight="1">
      <c r="A78" s="88" t="str">
        <f>'BASE PAX'!A53</f>
        <v>EXTRAS 1</v>
      </c>
      <c r="B78" s="211">
        <f>'BASE PAX'!B53</f>
        <v>0</v>
      </c>
      <c r="C78" s="212">
        <f>'BASE PAX'!C53</f>
        <v>150000</v>
      </c>
      <c r="D78" s="232">
        <f>C78*0.2+C78</f>
        <v>180000</v>
      </c>
      <c r="E78" s="232">
        <f>D78*B78</f>
        <v>0</v>
      </c>
      <c r="F78" s="210">
        <f>B78*C78</f>
        <v>0</v>
      </c>
      <c r="G78" s="200">
        <f t="shared" si="14"/>
        <v>0</v>
      </c>
    </row>
    <row r="79" spans="1:16" ht="20" customHeight="1" thickBot="1">
      <c r="A79" s="218" t="str">
        <f>'BASE PAX'!A54</f>
        <v>EXTRAS 2</v>
      </c>
      <c r="B79" s="211">
        <f>'BASE PAX'!B54</f>
        <v>0</v>
      </c>
      <c r="C79" s="216">
        <f>'BASE PAX'!C54</f>
        <v>0</v>
      </c>
      <c r="D79" s="233">
        <f>C79*0.2+C79</f>
        <v>0</v>
      </c>
      <c r="E79" s="233">
        <f>D79*B79</f>
        <v>0</v>
      </c>
      <c r="F79" s="217">
        <f>B79*C79</f>
        <v>0</v>
      </c>
      <c r="G79" s="201">
        <f t="shared" si="14"/>
        <v>0</v>
      </c>
    </row>
    <row r="80" spans="1:16" ht="44" customHeight="1" thickBot="1">
      <c r="A80" s="23" t="s">
        <v>89</v>
      </c>
      <c r="B80" s="80"/>
      <c r="C80" s="130"/>
      <c r="D80" s="130"/>
      <c r="E80" s="131">
        <f>SUM(E75:E79)</f>
        <v>0</v>
      </c>
      <c r="F80" s="131">
        <f>SUM(F75:F79)</f>
        <v>0</v>
      </c>
      <c r="G80" s="203">
        <f t="shared" si="14"/>
        <v>0</v>
      </c>
    </row>
    <row r="81" spans="1:16" s="8" customFormat="1" ht="11" customHeight="1" thickBot="1">
      <c r="A81" s="16"/>
      <c r="B81" s="56"/>
      <c r="C81" s="105"/>
      <c r="D81" s="102"/>
      <c r="E81" s="102"/>
      <c r="F81" s="7"/>
      <c r="G81" s="17"/>
      <c r="H81" s="7"/>
      <c r="I81" s="7"/>
      <c r="J81" s="7"/>
      <c r="K81" s="7"/>
      <c r="L81" s="7"/>
      <c r="M81" s="7"/>
      <c r="N81" s="7"/>
      <c r="O81" s="7"/>
      <c r="P81" s="7"/>
    </row>
    <row r="82" spans="1:16" s="9" customFormat="1" ht="42" customHeight="1" thickBot="1">
      <c r="A82" s="246" t="s">
        <v>117</v>
      </c>
      <c r="B82" s="247" t="s">
        <v>52</v>
      </c>
      <c r="C82" s="248" t="s">
        <v>53</v>
      </c>
      <c r="D82" s="249" t="s">
        <v>54</v>
      </c>
      <c r="E82" s="249" t="s">
        <v>55</v>
      </c>
      <c r="F82" s="248" t="s">
        <v>162</v>
      </c>
      <c r="G82" s="147" t="s">
        <v>159</v>
      </c>
    </row>
    <row r="83" spans="1:16" ht="20" customHeight="1">
      <c r="A83" s="81" t="str">
        <f>'BASE PAX'!A58</f>
        <v>WS INSTRUCTOR</v>
      </c>
      <c r="B83" s="238">
        <f>'BASE PAX'!B58</f>
        <v>0</v>
      </c>
      <c r="C83" s="239">
        <f>'BASE PAX'!C58</f>
        <v>3415000</v>
      </c>
      <c r="D83" s="240">
        <f>(C83*0.15)+C83</f>
        <v>3927250</v>
      </c>
      <c r="E83" s="240">
        <f>D83*B83</f>
        <v>0</v>
      </c>
      <c r="F83" s="234">
        <f>B83*C83</f>
        <v>0</v>
      </c>
      <c r="G83" s="199">
        <f>E83-F83</f>
        <v>0</v>
      </c>
    </row>
    <row r="84" spans="1:16" ht="20" customHeight="1">
      <c r="A84" s="81" t="str">
        <f>'BASE PAX'!A59</f>
        <v>PRODUCER FEE</v>
      </c>
      <c r="B84" s="235">
        <f>'BASE PAX'!B59</f>
        <v>0</v>
      </c>
      <c r="C84" s="236">
        <f>'BASE PAX'!C59</f>
        <v>180000</v>
      </c>
      <c r="D84" s="237">
        <f>(C84*0.15)+C84</f>
        <v>207000</v>
      </c>
      <c r="E84" s="237">
        <f>D84*B84</f>
        <v>0</v>
      </c>
      <c r="F84" s="234">
        <f>B84*C84</f>
        <v>0</v>
      </c>
      <c r="G84" s="200">
        <f>E84-F84</f>
        <v>0</v>
      </c>
    </row>
    <row r="85" spans="1:16" ht="20" customHeight="1" thickBot="1">
      <c r="A85" s="241">
        <f>'BASE PAX'!A60</f>
        <v>0</v>
      </c>
      <c r="B85" s="242">
        <f>'BASE PAX'!B60</f>
        <v>0</v>
      </c>
      <c r="C85" s="243">
        <f>'BASE PAX'!C60</f>
        <v>20000</v>
      </c>
      <c r="D85" s="244">
        <f>(C85*0.15)+C85</f>
        <v>23000</v>
      </c>
      <c r="E85" s="244">
        <f>D85*B85</f>
        <v>0</v>
      </c>
      <c r="F85" s="245">
        <f>B85*C85</f>
        <v>0</v>
      </c>
      <c r="G85" s="201">
        <f>E85-F85</f>
        <v>0</v>
      </c>
    </row>
    <row r="86" spans="1:16" ht="41" customHeight="1" thickBot="1">
      <c r="A86" s="24" t="s">
        <v>163</v>
      </c>
      <c r="B86" s="82"/>
      <c r="C86" s="132"/>
      <c r="D86" s="132"/>
      <c r="E86" s="133">
        <f>SUM(E83:E85)</f>
        <v>0</v>
      </c>
      <c r="F86" s="133">
        <f>SUM(F81:F85)</f>
        <v>0</v>
      </c>
      <c r="G86" s="203">
        <f>E86-F86</f>
        <v>0</v>
      </c>
    </row>
    <row r="87" spans="1:16" s="8" customFormat="1" ht="11" customHeight="1" thickBot="1">
      <c r="A87" s="16"/>
      <c r="B87" s="56"/>
      <c r="C87" s="105"/>
      <c r="D87" s="102"/>
      <c r="E87" s="102"/>
      <c r="F87" s="7"/>
      <c r="G87" s="17"/>
      <c r="H87" s="7"/>
      <c r="I87" s="7"/>
      <c r="J87" s="7"/>
      <c r="K87" s="7"/>
      <c r="L87" s="7"/>
      <c r="M87" s="7"/>
      <c r="N87" s="7"/>
      <c r="O87" s="7"/>
      <c r="P87" s="7"/>
    </row>
    <row r="88" spans="1:16" ht="38" customHeight="1" thickBot="1">
      <c r="A88" s="258" t="s">
        <v>164</v>
      </c>
      <c r="B88" s="259" t="s">
        <v>92</v>
      </c>
      <c r="C88" s="250" t="s">
        <v>53</v>
      </c>
      <c r="D88" s="260" t="s">
        <v>54</v>
      </c>
      <c r="E88" s="260" t="s">
        <v>55</v>
      </c>
      <c r="F88" s="250"/>
      <c r="G88" s="147" t="s">
        <v>159</v>
      </c>
    </row>
    <row r="89" spans="1:16" ht="20" customHeight="1">
      <c r="A89" s="255" t="str">
        <f>'BASE PAX'!A64</f>
        <v>COORDENAÇÃO PRODUÇÃO</v>
      </c>
      <c r="B89" s="256">
        <f>'BASE PAX'!B64</f>
        <v>0</v>
      </c>
      <c r="C89" s="257">
        <f>'BASE PAX'!C64</f>
        <v>50000</v>
      </c>
      <c r="D89" s="257">
        <f>'BASE PAX'!D64</f>
        <v>0</v>
      </c>
      <c r="E89" s="121">
        <f>D89*B89</f>
        <v>0</v>
      </c>
      <c r="F89" s="257"/>
      <c r="G89" s="199">
        <f t="shared" ref="G89:G94" si="15">E89*0.2</f>
        <v>0</v>
      </c>
    </row>
    <row r="90" spans="1:16" ht="20" customHeight="1">
      <c r="A90" s="251" t="str">
        <f>'BASE PAX'!A65</f>
        <v>EXTRA MÃO DE OBRA</v>
      </c>
      <c r="B90" s="256">
        <f>'BASE PAX'!B65</f>
        <v>0</v>
      </c>
      <c r="C90" s="253">
        <f>'BASE PAX'!C65</f>
        <v>50000</v>
      </c>
      <c r="D90" s="253">
        <f>'BASE PAX'!D65</f>
        <v>0</v>
      </c>
      <c r="E90" s="121">
        <f t="shared" ref="E90:E94" si="16">D90*B90</f>
        <v>0</v>
      </c>
      <c r="F90" s="253"/>
      <c r="G90" s="199">
        <f t="shared" si="15"/>
        <v>0</v>
      </c>
    </row>
    <row r="91" spans="1:16" ht="20" customHeight="1">
      <c r="A91" s="251" t="str">
        <f>'BASE PAX'!A66</f>
        <v>TAXA LIMPEZA CHECK IN / CHECKOUT</v>
      </c>
      <c r="B91" s="252">
        <f>'BASE PAX'!B66</f>
        <v>0</v>
      </c>
      <c r="C91" s="253">
        <f>'BASE PAX'!C66</f>
        <v>40000</v>
      </c>
      <c r="D91" s="253">
        <f>'BASE PAX'!D66</f>
        <v>0</v>
      </c>
      <c r="E91" s="121">
        <f t="shared" si="16"/>
        <v>0</v>
      </c>
      <c r="F91" s="253"/>
      <c r="G91" s="199">
        <f t="shared" si="15"/>
        <v>0</v>
      </c>
    </row>
    <row r="92" spans="1:16" ht="20" customHeight="1">
      <c r="A92" s="251" t="str">
        <f>'BASE PAX'!A67</f>
        <v>TAXA LIMPEZA DIARIA</v>
      </c>
      <c r="B92" s="254">
        <f>'BASE PAX'!B67</f>
        <v>0</v>
      </c>
      <c r="C92" s="253">
        <f>'BASE PAX'!C67</f>
        <v>30000</v>
      </c>
      <c r="D92" s="253">
        <f>'BASE PAX'!D67</f>
        <v>0</v>
      </c>
      <c r="E92" s="121">
        <f t="shared" si="16"/>
        <v>0</v>
      </c>
      <c r="F92" s="253"/>
      <c r="G92" s="199">
        <f t="shared" si="15"/>
        <v>0</v>
      </c>
    </row>
    <row r="93" spans="1:16" ht="20" customHeight="1">
      <c r="A93" s="251" t="str">
        <f>'BASE PAX'!A68</f>
        <v>SOUVENIR</v>
      </c>
      <c r="B93" s="252">
        <f>'BASE PAX'!B68</f>
        <v>0</v>
      </c>
      <c r="C93" s="253">
        <f>'BASE PAX'!C68</f>
        <v>15000</v>
      </c>
      <c r="D93" s="253">
        <f>'BASE PAX'!D68</f>
        <v>0</v>
      </c>
      <c r="E93" s="121">
        <f t="shared" si="16"/>
        <v>0</v>
      </c>
      <c r="F93" s="253"/>
      <c r="G93" s="199">
        <f t="shared" si="15"/>
        <v>0</v>
      </c>
    </row>
    <row r="94" spans="1:16" ht="20" customHeight="1" thickBot="1">
      <c r="A94" s="251" t="str">
        <f>'BASE PAX'!A69</f>
        <v>ASSISTENTE COORDENAÇÃO</v>
      </c>
      <c r="B94" s="256">
        <f>'BASE PAX'!B69</f>
        <v>0</v>
      </c>
      <c r="C94" s="253">
        <f>'BASE PAX'!C69</f>
        <v>30000</v>
      </c>
      <c r="D94" s="253">
        <f>'BASE PAX'!D69</f>
        <v>0</v>
      </c>
      <c r="E94" s="121">
        <f t="shared" si="16"/>
        <v>0</v>
      </c>
      <c r="F94" s="253"/>
      <c r="G94" s="199">
        <f t="shared" si="15"/>
        <v>0</v>
      </c>
    </row>
    <row r="95" spans="1:16" ht="41" customHeight="1" thickBot="1">
      <c r="A95" s="25" t="s">
        <v>101</v>
      </c>
      <c r="B95" s="83"/>
      <c r="C95" s="134"/>
      <c r="D95" s="134"/>
      <c r="E95" s="135">
        <f>SUM(E89:E94)</f>
        <v>0</v>
      </c>
      <c r="F95" s="135"/>
      <c r="G95" s="203">
        <f>SUM(G89:G94)</f>
        <v>0</v>
      </c>
    </row>
    <row r="96" spans="1:16" s="8" customFormat="1" ht="11" customHeight="1" thickBot="1">
      <c r="A96" s="16"/>
      <c r="B96" s="56"/>
      <c r="C96" s="105"/>
      <c r="D96" s="102"/>
      <c r="E96" s="102"/>
      <c r="F96" s="7"/>
      <c r="G96" s="17"/>
      <c r="H96" s="7"/>
      <c r="I96" s="7"/>
      <c r="J96" s="7"/>
      <c r="K96" s="7"/>
      <c r="L96" s="7"/>
      <c r="M96" s="7"/>
      <c r="N96" s="7"/>
      <c r="O96" s="7"/>
      <c r="P96" s="7"/>
    </row>
    <row r="97" spans="1:16" ht="38" customHeight="1" thickBot="1">
      <c r="A97" s="26" t="s">
        <v>165</v>
      </c>
      <c r="B97" s="27" t="s">
        <v>92</v>
      </c>
      <c r="C97" s="136" t="s">
        <v>53</v>
      </c>
      <c r="D97" s="136" t="s">
        <v>54</v>
      </c>
      <c r="E97" s="137" t="s">
        <v>55</v>
      </c>
      <c r="F97" s="20"/>
      <c r="G97" s="20"/>
    </row>
    <row r="98" spans="1:16" ht="23" customHeight="1" thickBot="1">
      <c r="A98" s="84" t="str">
        <f>'BASE PAX'!A73</f>
        <v xml:space="preserve">QUINCHO DAY USE / CABIN </v>
      </c>
      <c r="B98" s="85">
        <f>'BASE PAX'!B73</f>
        <v>0</v>
      </c>
      <c r="C98" s="138">
        <f>'BASE PAX'!C73</f>
        <v>15000</v>
      </c>
      <c r="D98" s="138">
        <f>C98+(C98*0.2)</f>
        <v>18000</v>
      </c>
      <c r="E98" s="139">
        <f>D98*B98</f>
        <v>0</v>
      </c>
      <c r="F98" s="19"/>
      <c r="G98" s="17"/>
    </row>
    <row r="99" spans="1:16" ht="42" customHeight="1" thickBot="1">
      <c r="A99" s="26" t="s">
        <v>104</v>
      </c>
      <c r="B99" s="86"/>
      <c r="C99" s="140"/>
      <c r="D99" s="140"/>
      <c r="E99" s="141">
        <f>E98</f>
        <v>0</v>
      </c>
    </row>
    <row r="100" spans="1:16" s="6" customFormat="1" ht="20" customHeight="1">
      <c r="A100" s="28"/>
      <c r="B100" s="52"/>
      <c r="C100" s="11"/>
      <c r="D100" s="11"/>
      <c r="E100" s="11"/>
      <c r="F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9" customHeight="1"/>
  </sheetData>
  <sheetProtection sheet="1" objects="1" scenarios="1"/>
  <mergeCells count="18">
    <mergeCell ref="A11:A12"/>
    <mergeCell ref="D5:F5"/>
    <mergeCell ref="A28:D28"/>
    <mergeCell ref="B5:C5"/>
    <mergeCell ref="F20:F21"/>
    <mergeCell ref="B11:B12"/>
    <mergeCell ref="D11:D12"/>
    <mergeCell ref="B9:C9"/>
    <mergeCell ref="D9:E9"/>
    <mergeCell ref="B8:C8"/>
    <mergeCell ref="D8:E8"/>
    <mergeCell ref="D6:E6"/>
    <mergeCell ref="B6:C6"/>
    <mergeCell ref="I11:K11"/>
    <mergeCell ref="D7:E7"/>
    <mergeCell ref="B7:C7"/>
    <mergeCell ref="F11:G13"/>
    <mergeCell ref="G20:G21"/>
  </mergeCells>
  <pageMargins left="0.7" right="0.7" top="0.75" bottom="0.75" header="0.3" footer="0.3"/>
  <pageSetup paperSize="9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4"/>
  <dimension ref="A1:P101"/>
  <sheetViews>
    <sheetView topLeftCell="A2" zoomScale="75" zoomScaleNormal="84" workbookViewId="0">
      <selection activeCell="C92" sqref="C92"/>
    </sheetView>
  </sheetViews>
  <sheetFormatPr baseColWidth="10" defaultColWidth="11" defaultRowHeight="17"/>
  <cols>
    <col min="1" max="1" width="48.796875" style="7" customWidth="1"/>
    <col min="2" max="2" width="23.796875" style="52" customWidth="1"/>
    <col min="3" max="3" width="24" style="7" customWidth="1"/>
    <col min="4" max="4" width="22.796875" style="12" customWidth="1"/>
    <col min="5" max="5" width="22.19921875" style="11" customWidth="1"/>
    <col min="6" max="6" width="32.19921875" style="7" customWidth="1"/>
    <col min="7" max="7" width="27.796875" style="6" customWidth="1"/>
    <col min="8" max="8" width="36.3984375" style="7" customWidth="1"/>
    <col min="9" max="9" width="31" style="7" customWidth="1"/>
    <col min="10" max="10" width="25.19921875" style="7" customWidth="1"/>
    <col min="11" max="11" width="28.796875" style="7" customWidth="1"/>
    <col min="12" max="12" width="36.19921875" style="7" customWidth="1"/>
    <col min="13" max="28" width="11" style="7" customWidth="1"/>
    <col min="29" max="16384" width="11" style="7"/>
  </cols>
  <sheetData>
    <row r="1" spans="1:16" ht="22" hidden="1" customHeight="1" thickBot="1"/>
    <row r="2" spans="1:16" ht="7" customHeight="1">
      <c r="D2" s="13"/>
    </row>
    <row r="3" spans="1:16" s="10" customFormat="1" ht="1" customHeight="1">
      <c r="A3" s="14"/>
      <c r="B3" s="53"/>
      <c r="C3" s="15" t="s">
        <v>11</v>
      </c>
      <c r="D3" s="15"/>
      <c r="E3" s="15"/>
      <c r="G3" s="9"/>
    </row>
    <row r="4" spans="1:16" s="10" customFormat="1" ht="19" customHeight="1">
      <c r="A4" s="14"/>
      <c r="B4" s="53"/>
      <c r="C4" s="15"/>
      <c r="D4" s="15"/>
      <c r="E4" s="15"/>
      <c r="G4" s="9"/>
    </row>
    <row r="5" spans="1:16" s="10" customFormat="1" ht="45" customHeight="1">
      <c r="A5" s="54" t="s">
        <v>129</v>
      </c>
      <c r="B5" s="674">
        <v>2</v>
      </c>
      <c r="C5" s="675"/>
      <c r="D5" s="277" t="s">
        <v>14</v>
      </c>
      <c r="E5" s="277"/>
      <c r="F5" s="278"/>
      <c r="G5" s="9"/>
    </row>
    <row r="6" spans="1:16" s="8" customFormat="1" ht="37" customHeight="1">
      <c r="A6" s="54" t="s">
        <v>130</v>
      </c>
      <c r="B6" s="683">
        <v>1</v>
      </c>
      <c r="C6" s="684"/>
      <c r="D6" s="682" t="s">
        <v>131</v>
      </c>
      <c r="E6" s="661"/>
      <c r="F6" s="106">
        <f>D21</f>
        <v>0</v>
      </c>
      <c r="G6" s="9"/>
      <c r="H6" s="10"/>
    </row>
    <row r="7" spans="1:16" s="8" customFormat="1" ht="33" customHeight="1">
      <c r="A7" s="55" t="s">
        <v>132</v>
      </c>
      <c r="B7" s="662">
        <f>CALENDAR!C2</f>
        <v>0</v>
      </c>
      <c r="C7" s="661"/>
      <c r="D7" s="660" t="s">
        <v>133</v>
      </c>
      <c r="E7" s="661"/>
      <c r="F7" s="107">
        <f>SUM(F12:F20)</f>
        <v>0</v>
      </c>
      <c r="G7" s="9"/>
      <c r="H7" s="10"/>
    </row>
    <row r="8" spans="1:16" s="8" customFormat="1" ht="31" customHeight="1">
      <c r="A8" s="54" t="s">
        <v>134</v>
      </c>
      <c r="B8" s="680">
        <f>CALENDAR!C3</f>
        <v>0</v>
      </c>
      <c r="C8" s="661"/>
      <c r="D8" s="681" t="s">
        <v>135</v>
      </c>
      <c r="E8" s="661"/>
      <c r="F8" s="108">
        <f>F6-F7</f>
        <v>0</v>
      </c>
      <c r="G8" s="9"/>
      <c r="H8" s="10"/>
    </row>
    <row r="9" spans="1:16" s="8" customFormat="1" ht="32" customHeight="1">
      <c r="A9" s="55" t="s">
        <v>136</v>
      </c>
      <c r="B9" s="678">
        <f>CALENDAR!J2</f>
        <v>0</v>
      </c>
      <c r="C9" s="661"/>
      <c r="D9" s="679" t="s">
        <v>137</v>
      </c>
      <c r="E9" s="661"/>
      <c r="F9" s="1"/>
      <c r="G9" s="9"/>
      <c r="H9" s="10"/>
    </row>
    <row r="10" spans="1:16" s="8" customFormat="1" ht="30" customHeight="1" thickBot="1">
      <c r="A10" s="16"/>
      <c r="B10" s="56"/>
      <c r="C10" s="6"/>
      <c r="D10" s="7"/>
      <c r="E10" s="7"/>
      <c r="F10" s="7"/>
      <c r="G10" s="17"/>
      <c r="H10" s="7"/>
      <c r="I10" s="7"/>
      <c r="J10" s="7"/>
      <c r="K10" s="7"/>
      <c r="L10" s="7"/>
      <c r="M10" s="7"/>
      <c r="N10" s="7"/>
      <c r="O10" s="7"/>
      <c r="P10" s="7"/>
    </row>
    <row r="11" spans="1:16" s="6" customFormat="1" ht="44" customHeight="1">
      <c r="A11" s="671" t="s">
        <v>138</v>
      </c>
      <c r="B11" s="677" t="s">
        <v>139</v>
      </c>
      <c r="C11" s="57" t="s">
        <v>140</v>
      </c>
      <c r="D11" s="677" t="s">
        <v>141</v>
      </c>
      <c r="E11" s="7"/>
      <c r="F11" s="738">
        <f>E5</f>
        <v>0</v>
      </c>
      <c r="G11" s="664"/>
      <c r="H11" s="7"/>
      <c r="I11" s="658" t="s">
        <v>142</v>
      </c>
      <c r="J11" s="659"/>
      <c r="K11" s="659"/>
      <c r="L11" s="7"/>
      <c r="M11" s="7"/>
      <c r="N11" s="7"/>
      <c r="O11" s="7"/>
      <c r="P11" s="7"/>
    </row>
    <row r="12" spans="1:16" s="6" customFormat="1" ht="32" customHeight="1">
      <c r="A12" s="659"/>
      <c r="B12" s="659"/>
      <c r="C12" s="58">
        <v>0.05</v>
      </c>
      <c r="D12" s="659"/>
      <c r="E12" s="7"/>
      <c r="F12" s="665"/>
      <c r="G12" s="666"/>
      <c r="H12" s="7"/>
      <c r="I12" s="59" t="s">
        <v>126</v>
      </c>
      <c r="J12" s="60" t="s">
        <v>143</v>
      </c>
      <c r="K12" s="60" t="s">
        <v>144</v>
      </c>
      <c r="L12" s="7"/>
      <c r="M12" s="7"/>
      <c r="N12" s="7"/>
      <c r="O12" s="7"/>
      <c r="P12" s="7"/>
    </row>
    <row r="13" spans="1:16" ht="22" customHeight="1" thickBot="1">
      <c r="A13" s="61" t="s">
        <v>15</v>
      </c>
      <c r="B13" s="109">
        <f>G28</f>
        <v>0</v>
      </c>
      <c r="C13" s="109">
        <f t="shared" ref="C13:C20" si="0">B13*$C$12</f>
        <v>0</v>
      </c>
      <c r="D13" s="109">
        <f t="shared" ref="D13:D20" si="1">B13+(B13*$C$12)</f>
        <v>0</v>
      </c>
      <c r="E13" s="7"/>
      <c r="F13" s="667"/>
      <c r="G13" s="668"/>
      <c r="I13" s="3"/>
      <c r="J13" s="4"/>
      <c r="K13" s="5"/>
    </row>
    <row r="14" spans="1:16" s="6" customFormat="1" ht="20" customHeight="1">
      <c r="A14" s="62" t="s">
        <v>16</v>
      </c>
      <c r="B14" s="110">
        <f>J49</f>
        <v>0</v>
      </c>
      <c r="C14" s="110">
        <f t="shared" si="0"/>
        <v>0</v>
      </c>
      <c r="D14" s="110">
        <f t="shared" si="1"/>
        <v>0</v>
      </c>
      <c r="E14" s="7"/>
      <c r="F14" s="271" t="str">
        <f t="shared" ref="F14:F19" si="2">A14</f>
        <v>2.FOOD</v>
      </c>
      <c r="G14" s="261">
        <f>G49</f>
        <v>0</v>
      </c>
      <c r="H14" s="7"/>
      <c r="I14" s="3"/>
      <c r="J14" s="4"/>
      <c r="K14" s="5"/>
      <c r="L14" s="7"/>
      <c r="M14" s="7"/>
      <c r="N14" s="7"/>
      <c r="O14" s="7"/>
      <c r="P14" s="7"/>
    </row>
    <row r="15" spans="1:16" s="6" customFormat="1" ht="20" customHeight="1">
      <c r="A15" s="63" t="s">
        <v>17</v>
      </c>
      <c r="B15" s="111">
        <f>E59</f>
        <v>0</v>
      </c>
      <c r="C15" s="111">
        <f t="shared" si="0"/>
        <v>0</v>
      </c>
      <c r="D15" s="111">
        <f t="shared" si="1"/>
        <v>0</v>
      </c>
      <c r="E15" s="7"/>
      <c r="F15" s="272" t="str">
        <f t="shared" si="2"/>
        <v>3.DRINKS</v>
      </c>
      <c r="G15" s="262">
        <f>G59</f>
        <v>0</v>
      </c>
      <c r="H15" s="7"/>
      <c r="I15" s="3"/>
      <c r="J15" s="4"/>
      <c r="K15" s="5"/>
      <c r="L15" s="7"/>
      <c r="M15" s="7"/>
      <c r="N15" s="7"/>
      <c r="O15" s="7"/>
      <c r="P15" s="7"/>
    </row>
    <row r="16" spans="1:16" s="6" customFormat="1" ht="20" customHeight="1">
      <c r="A16" s="55" t="s">
        <v>18</v>
      </c>
      <c r="B16" s="112">
        <f>$E$72</f>
        <v>0</v>
      </c>
      <c r="C16" s="112">
        <f t="shared" si="0"/>
        <v>0</v>
      </c>
      <c r="D16" s="112">
        <f t="shared" si="1"/>
        <v>0</v>
      </c>
      <c r="E16" s="7"/>
      <c r="F16" s="273" t="str">
        <f t="shared" si="2"/>
        <v>4. ACTIVITIES</v>
      </c>
      <c r="G16" s="263">
        <f>G72</f>
        <v>0</v>
      </c>
      <c r="H16" s="7"/>
      <c r="I16" s="3"/>
      <c r="J16" s="4"/>
      <c r="K16" s="5"/>
      <c r="L16" s="7"/>
      <c r="M16" s="7"/>
      <c r="N16" s="7"/>
      <c r="O16" s="7"/>
      <c r="P16" s="7"/>
    </row>
    <row r="17" spans="1:16" s="6" customFormat="1" ht="20" customHeight="1">
      <c r="A17" s="63" t="s">
        <v>19</v>
      </c>
      <c r="B17" s="111">
        <f>$E$80</f>
        <v>0</v>
      </c>
      <c r="C17" s="111">
        <f t="shared" si="0"/>
        <v>0</v>
      </c>
      <c r="D17" s="111">
        <f t="shared" si="1"/>
        <v>0</v>
      </c>
      <c r="E17" s="7"/>
      <c r="F17" s="274" t="str">
        <f t="shared" si="2"/>
        <v>5.TRANSPORT</v>
      </c>
      <c r="G17" s="174">
        <f>G80</f>
        <v>0</v>
      </c>
      <c r="H17" s="7"/>
      <c r="I17" s="3"/>
      <c r="J17" s="4"/>
      <c r="K17" s="5"/>
      <c r="L17" s="7"/>
      <c r="M17" s="7"/>
      <c r="N17" s="7"/>
      <c r="O17" s="7"/>
      <c r="P17" s="7"/>
    </row>
    <row r="18" spans="1:16" s="6" customFormat="1" ht="20" customHeight="1">
      <c r="A18" s="64" t="s">
        <v>20</v>
      </c>
      <c r="B18" s="113">
        <f>$E$86</f>
        <v>0</v>
      </c>
      <c r="C18" s="113">
        <f t="shared" si="0"/>
        <v>0</v>
      </c>
      <c r="D18" s="113">
        <f t="shared" si="1"/>
        <v>0</v>
      </c>
      <c r="E18" s="10"/>
      <c r="F18" s="275" t="str">
        <f t="shared" si="2"/>
        <v>6.EXPERIENCES</v>
      </c>
      <c r="G18" s="264">
        <f>G86</f>
        <v>0</v>
      </c>
      <c r="H18" s="7"/>
      <c r="I18" s="3"/>
      <c r="J18" s="4"/>
      <c r="K18" s="5"/>
      <c r="L18" s="7"/>
      <c r="M18" s="7"/>
      <c r="N18" s="7"/>
      <c r="O18" s="7"/>
      <c r="P18" s="7"/>
    </row>
    <row r="19" spans="1:16" s="6" customFormat="1" ht="20" customHeight="1">
      <c r="A19" s="65" t="s">
        <v>21</v>
      </c>
      <c r="B19" s="114">
        <f>$E$95</f>
        <v>0</v>
      </c>
      <c r="C19" s="114">
        <f t="shared" si="0"/>
        <v>0</v>
      </c>
      <c r="D19" s="114">
        <f t="shared" si="1"/>
        <v>0</v>
      </c>
      <c r="E19" s="7"/>
      <c r="F19" s="276" t="str">
        <f t="shared" si="2"/>
        <v>7.EXTRAS</v>
      </c>
      <c r="G19" s="151">
        <f>G95</f>
        <v>0</v>
      </c>
      <c r="H19" s="7"/>
      <c r="I19" s="3"/>
      <c r="J19" s="4"/>
      <c r="K19" s="5"/>
      <c r="L19" s="7"/>
      <c r="M19" s="7"/>
      <c r="N19" s="7"/>
      <c r="O19" s="7"/>
      <c r="P19" s="7"/>
    </row>
    <row r="20" spans="1:16" s="6" customFormat="1" ht="20" customHeight="1">
      <c r="A20" s="66" t="s">
        <v>22</v>
      </c>
      <c r="B20" s="115">
        <f>$E$99</f>
        <v>0</v>
      </c>
      <c r="C20" s="115">
        <f t="shared" si="0"/>
        <v>0</v>
      </c>
      <c r="D20" s="115">
        <f t="shared" si="1"/>
        <v>0</v>
      </c>
      <c r="E20" s="7"/>
      <c r="F20" s="676" t="s">
        <v>145</v>
      </c>
      <c r="G20" s="669">
        <f>G14+G15+G16+G17+G18+G19</f>
        <v>0</v>
      </c>
      <c r="H20" s="7"/>
      <c r="I20" s="3"/>
      <c r="J20" s="4"/>
      <c r="K20" s="5"/>
      <c r="L20" s="7"/>
      <c r="M20" s="7"/>
      <c r="N20" s="7"/>
      <c r="O20" s="7"/>
      <c r="P20" s="7"/>
    </row>
    <row r="21" spans="1:16" ht="35" customHeight="1" thickBot="1">
      <c r="A21" s="67" t="s">
        <v>146</v>
      </c>
      <c r="B21" s="116">
        <f>SUM(B13:B20)</f>
        <v>0</v>
      </c>
      <c r="C21" s="116"/>
      <c r="D21" s="116">
        <f>SUM(D13:D20)</f>
        <v>0</v>
      </c>
      <c r="E21" s="51"/>
      <c r="F21" s="670"/>
      <c r="G21" s="670"/>
    </row>
    <row r="22" spans="1:16" s="8" customFormat="1" ht="11" customHeight="1" thickBot="1">
      <c r="A22" s="16"/>
      <c r="B22" s="56"/>
      <c r="C22" s="6"/>
      <c r="D22" s="7"/>
      <c r="E22" s="7"/>
      <c r="F22" s="7"/>
      <c r="G22" s="17"/>
      <c r="H22" s="7"/>
      <c r="I22" s="7"/>
      <c r="J22" s="7"/>
      <c r="K22" s="7"/>
      <c r="L22" s="7"/>
      <c r="M22" s="7"/>
      <c r="N22" s="7"/>
      <c r="O22" s="7"/>
      <c r="P22" s="7"/>
    </row>
    <row r="23" spans="1:16" ht="44" customHeight="1" thickBot="1">
      <c r="A23" s="68" t="s">
        <v>114</v>
      </c>
      <c r="B23" s="69" t="s">
        <v>52</v>
      </c>
      <c r="C23" s="69" t="s">
        <v>147</v>
      </c>
      <c r="D23" s="69" t="s">
        <v>148</v>
      </c>
      <c r="E23" s="70" t="s">
        <v>149</v>
      </c>
      <c r="F23" s="70" t="s">
        <v>150</v>
      </c>
      <c r="G23" s="70" t="s">
        <v>151</v>
      </c>
    </row>
    <row r="24" spans="1:16" ht="20" customHeight="1">
      <c r="A24" s="71" t="s">
        <v>174</v>
      </c>
      <c r="B24" s="93">
        <v>1</v>
      </c>
      <c r="C24" s="117">
        <f>398381.8</f>
        <v>398381.8</v>
      </c>
      <c r="D24" s="118"/>
      <c r="E24" s="119">
        <f>(C24+D24)*$B$9*B24</f>
        <v>0</v>
      </c>
      <c r="F24" s="2">
        <v>-0.15</v>
      </c>
      <c r="G24" s="119">
        <f>E24-(E24*F24)</f>
        <v>0</v>
      </c>
    </row>
    <row r="25" spans="1:16" ht="20" customHeight="1">
      <c r="A25" s="71" t="s">
        <v>175</v>
      </c>
      <c r="B25" s="93">
        <v>0</v>
      </c>
      <c r="C25" s="117">
        <f>398381.8</f>
        <v>398381.8</v>
      </c>
      <c r="D25" s="118">
        <v>50000</v>
      </c>
      <c r="E25" s="119">
        <f>(C25+D25)*$B$9*B25</f>
        <v>0</v>
      </c>
      <c r="F25" s="2">
        <v>0</v>
      </c>
      <c r="G25" s="119">
        <f>E25-(E25*F25)</f>
        <v>0</v>
      </c>
    </row>
    <row r="26" spans="1:16" ht="20" customHeight="1">
      <c r="A26" s="71" t="s">
        <v>176</v>
      </c>
      <c r="B26" s="93">
        <v>0</v>
      </c>
      <c r="C26" s="117">
        <f>358543.62</f>
        <v>358543.62</v>
      </c>
      <c r="D26" s="118"/>
      <c r="E26" s="119">
        <f>(C26+D26)*$B$9*B26</f>
        <v>0</v>
      </c>
      <c r="F26" s="2">
        <v>0</v>
      </c>
      <c r="G26" s="119">
        <f>E26-(E26*F26)</f>
        <v>0</v>
      </c>
    </row>
    <row r="27" spans="1:16" ht="20" customHeight="1" thickBot="1">
      <c r="A27" s="71" t="s">
        <v>177</v>
      </c>
      <c r="B27" s="93">
        <v>0</v>
      </c>
      <c r="C27" s="117">
        <f>358543.62</f>
        <v>358543.62</v>
      </c>
      <c r="D27" s="118">
        <v>50000</v>
      </c>
      <c r="E27" s="119">
        <f>(C27+D27)*$B$9*B27</f>
        <v>0</v>
      </c>
      <c r="F27" s="2">
        <v>0</v>
      </c>
      <c r="G27" s="119">
        <f>E27-(E27*F27)</f>
        <v>0</v>
      </c>
    </row>
    <row r="28" spans="1:16" ht="29" customHeight="1" thickBot="1">
      <c r="A28" s="672" t="s">
        <v>156</v>
      </c>
      <c r="B28" s="673"/>
      <c r="C28" s="673"/>
      <c r="D28" s="673"/>
      <c r="E28" s="72"/>
      <c r="F28" s="73"/>
      <c r="G28" s="120">
        <f>SUM(G24:G27)</f>
        <v>0</v>
      </c>
    </row>
    <row r="29" spans="1:16" s="8" customFormat="1" ht="11" customHeight="1" thickBot="1">
      <c r="A29" s="16"/>
      <c r="B29" s="56"/>
      <c r="C29" s="6"/>
      <c r="D29" s="7"/>
      <c r="E29" s="7"/>
      <c r="F29" s="7"/>
      <c r="G29" s="17"/>
      <c r="H29" s="7"/>
      <c r="I29" s="7"/>
      <c r="J29" s="7"/>
      <c r="K29" s="7"/>
      <c r="L29" s="7"/>
      <c r="M29" s="7"/>
      <c r="N29" s="7"/>
      <c r="O29" s="7"/>
      <c r="P29" s="7"/>
    </row>
    <row r="30" spans="1:16" s="10" customFormat="1" ht="40" customHeight="1" thickBot="1">
      <c r="A30" s="18" t="s">
        <v>51</v>
      </c>
      <c r="B30" s="159" t="s">
        <v>52</v>
      </c>
      <c r="C30" s="160" t="s">
        <v>53</v>
      </c>
      <c r="D30" s="153" t="s">
        <v>54</v>
      </c>
      <c r="E30" s="149" t="s">
        <v>157</v>
      </c>
      <c r="F30" s="103" t="s">
        <v>158</v>
      </c>
      <c r="G30" s="147" t="s">
        <v>159</v>
      </c>
    </row>
    <row r="31" spans="1:16" ht="20" customHeight="1">
      <c r="A31" s="154" t="str">
        <f>'BASE PAX'!A6</f>
        <v>BREAKFAST</v>
      </c>
      <c r="B31" s="284">
        <f>'BASE PAX'!B6*B9*($B$5*'BASE PAX'!G6+$B$6*'BASE PAX'!H6)</f>
        <v>0</v>
      </c>
      <c r="C31" s="121"/>
      <c r="D31" s="144"/>
      <c r="E31" s="283"/>
      <c r="F31" s="122">
        <f t="shared" ref="F31:F46" si="3">B31*C31</f>
        <v>0</v>
      </c>
      <c r="G31" s="146">
        <f>0.2*B31</f>
        <v>0</v>
      </c>
      <c r="H31" s="293" t="str">
        <f>'BASE PAX'!A6</f>
        <v>BREAKFAST</v>
      </c>
      <c r="I31" s="299">
        <f>'BASE PAX'!B6*B9*($B$5*'BASE PAX'!G6+$B$6*'BASE PAX'!H6)</f>
        <v>0</v>
      </c>
    </row>
    <row r="32" spans="1:16" ht="20" customHeight="1">
      <c r="A32" s="155" t="str">
        <f>'BASE PAX'!A7</f>
        <v>LUNCH 1</v>
      </c>
      <c r="B32" s="89">
        <f>($B$5+($B$6*0.5))*'BASE PAX'!B7</f>
        <v>0</v>
      </c>
      <c r="C32" s="123">
        <f>'BASE PAX'!C7</f>
        <v>40000</v>
      </c>
      <c r="D32" s="125">
        <f>'BASE PAX'!D7</f>
        <v>48000</v>
      </c>
      <c r="E32" s="151">
        <f t="shared" ref="E32:E46" si="4">D32*B32</f>
        <v>0</v>
      </c>
      <c r="F32" s="124">
        <f t="shared" si="3"/>
        <v>0</v>
      </c>
      <c r="G32" s="146">
        <f t="shared" ref="G32:G46" si="5">E32-F32</f>
        <v>0</v>
      </c>
      <c r="H32" s="294"/>
      <c r="I32" s="295"/>
    </row>
    <row r="33" spans="1:9" ht="20" customHeight="1">
      <c r="A33" s="155" t="str">
        <f>'BASE PAX'!A8</f>
        <v>LUNCH 2</v>
      </c>
      <c r="B33" s="89">
        <f>($B$5+($B$6*0.5))*'BASE PAX'!B8</f>
        <v>0</v>
      </c>
      <c r="C33" s="123">
        <f>'BASE PAX'!C8</f>
        <v>40000</v>
      </c>
      <c r="D33" s="125">
        <f>'BASE PAX'!D8</f>
        <v>48000</v>
      </c>
      <c r="E33" s="151">
        <f t="shared" si="4"/>
        <v>0</v>
      </c>
      <c r="F33" s="124">
        <f t="shared" si="3"/>
        <v>0</v>
      </c>
      <c r="G33" s="146">
        <f t="shared" si="5"/>
        <v>0</v>
      </c>
      <c r="H33" s="294"/>
      <c r="I33" s="295"/>
    </row>
    <row r="34" spans="1:9" ht="20" customHeight="1">
      <c r="A34" s="155" t="str">
        <f>'BASE PAX'!A9</f>
        <v>LUNCH 3</v>
      </c>
      <c r="B34" s="89">
        <f>($B$5+($B$6*0.5))*'BASE PAX'!B9</f>
        <v>0</v>
      </c>
      <c r="C34" s="123">
        <f>'BASE PAX'!C9</f>
        <v>40000</v>
      </c>
      <c r="D34" s="125">
        <f>'BASE PAX'!D9</f>
        <v>48000</v>
      </c>
      <c r="E34" s="151">
        <f t="shared" si="4"/>
        <v>0</v>
      </c>
      <c r="F34" s="124">
        <f t="shared" si="3"/>
        <v>0</v>
      </c>
      <c r="G34" s="146">
        <f t="shared" si="5"/>
        <v>0</v>
      </c>
      <c r="H34" s="294"/>
      <c r="I34" s="295"/>
    </row>
    <row r="35" spans="1:9" ht="20" customHeight="1">
      <c r="A35" s="155" t="str">
        <f>'BASE PAX'!A10</f>
        <v>LUNCH 4</v>
      </c>
      <c r="B35" s="89">
        <f>($B$5+($B$6*0.5))*'BASE PAX'!B10</f>
        <v>0</v>
      </c>
      <c r="C35" s="123">
        <f>'BASE PAX'!C10</f>
        <v>45000</v>
      </c>
      <c r="D35" s="125">
        <f>'BASE PAX'!D10</f>
        <v>54000</v>
      </c>
      <c r="E35" s="151">
        <f t="shared" si="4"/>
        <v>0</v>
      </c>
      <c r="F35" s="124">
        <f t="shared" si="3"/>
        <v>0</v>
      </c>
      <c r="G35" s="146">
        <f t="shared" si="5"/>
        <v>0</v>
      </c>
      <c r="H35" s="294"/>
      <c r="I35" s="295"/>
    </row>
    <row r="36" spans="1:9" ht="20" customHeight="1">
      <c r="A36" s="155" t="str">
        <f>'BASE PAX'!A11</f>
        <v>LUNCH 5</v>
      </c>
      <c r="B36" s="89">
        <f>($B$5+($B$6*0.6))*'BASE PAX'!B11</f>
        <v>0</v>
      </c>
      <c r="C36" s="123">
        <f>'BASE PAX'!C11</f>
        <v>50000</v>
      </c>
      <c r="D36" s="125">
        <f>'BASE PAX'!D11</f>
        <v>60000</v>
      </c>
      <c r="E36" s="151">
        <f t="shared" si="4"/>
        <v>0</v>
      </c>
      <c r="F36" s="124">
        <f t="shared" si="3"/>
        <v>0</v>
      </c>
      <c r="G36" s="146">
        <f t="shared" si="5"/>
        <v>0</v>
      </c>
      <c r="H36" s="294"/>
      <c r="I36" s="295"/>
    </row>
    <row r="37" spans="1:9" ht="20" customHeight="1">
      <c r="A37" s="155" t="str">
        <f>'BASE PAX'!A12</f>
        <v>LUNCH 6</v>
      </c>
      <c r="B37" s="89">
        <f>($B$5+($B$6*0.5))*'BASE PAX'!B12</f>
        <v>0</v>
      </c>
      <c r="C37" s="123">
        <f>'BASE PAX'!C12</f>
        <v>0</v>
      </c>
      <c r="D37" s="125">
        <f>'BASE PAX'!D12</f>
        <v>0</v>
      </c>
      <c r="E37" s="151">
        <f t="shared" si="4"/>
        <v>0</v>
      </c>
      <c r="F37" s="124">
        <f t="shared" si="3"/>
        <v>0</v>
      </c>
      <c r="G37" s="146">
        <f t="shared" si="5"/>
        <v>0</v>
      </c>
      <c r="H37" s="294"/>
      <c r="I37" s="295"/>
    </row>
    <row r="38" spans="1:9" ht="20" customHeight="1">
      <c r="A38" s="155" t="str">
        <f>'BASE PAX'!A13</f>
        <v>LUNCH 7</v>
      </c>
      <c r="B38" s="89">
        <f>($B$5+($B$6*0.5))*'BASE PAX'!B13</f>
        <v>0</v>
      </c>
      <c r="C38" s="123">
        <f>'BASE PAX'!C13</f>
        <v>5000</v>
      </c>
      <c r="D38" s="125">
        <f>'BASE PAX'!D13</f>
        <v>6000</v>
      </c>
      <c r="E38" s="151">
        <f t="shared" si="4"/>
        <v>0</v>
      </c>
      <c r="F38" s="124">
        <f t="shared" si="3"/>
        <v>0</v>
      </c>
      <c r="G38" s="146">
        <f t="shared" si="5"/>
        <v>0</v>
      </c>
      <c r="H38" s="294"/>
      <c r="I38" s="295"/>
    </row>
    <row r="39" spans="1:9" ht="20" customHeight="1">
      <c r="A39" s="156" t="str">
        <f>'BASE PAX'!A14</f>
        <v>SNACKS</v>
      </c>
      <c r="B39" s="90">
        <f>($B$5+$B$6)*'BASE PAX'!B14</f>
        <v>0</v>
      </c>
      <c r="C39" s="125">
        <f>'BASE PAX'!C14</f>
        <v>8000</v>
      </c>
      <c r="D39" s="145">
        <f>'BASE PAX'!D14</f>
        <v>9600</v>
      </c>
      <c r="E39" s="150">
        <f t="shared" si="4"/>
        <v>0</v>
      </c>
      <c r="F39" s="122">
        <f t="shared" si="3"/>
        <v>0</v>
      </c>
      <c r="G39" s="146">
        <f t="shared" si="5"/>
        <v>0</v>
      </c>
      <c r="H39" s="294"/>
      <c r="I39" s="295"/>
    </row>
    <row r="40" spans="1:9" ht="20" customHeight="1">
      <c r="A40" s="155" t="str">
        <f>'BASE PAX'!A15</f>
        <v>DINNER 1</v>
      </c>
      <c r="B40" s="89">
        <f>($B$5+($B$6*0.6))*'BASE PAX'!B15</f>
        <v>0</v>
      </c>
      <c r="C40" s="123">
        <f>'BASE PAX'!C15</f>
        <v>70000</v>
      </c>
      <c r="D40" s="125">
        <f>'BASE PAX'!D15</f>
        <v>84000</v>
      </c>
      <c r="E40" s="151">
        <f t="shared" si="4"/>
        <v>0</v>
      </c>
      <c r="F40" s="124">
        <f t="shared" si="3"/>
        <v>0</v>
      </c>
      <c r="G40" s="146">
        <f t="shared" si="5"/>
        <v>0</v>
      </c>
      <c r="H40" s="294"/>
      <c r="I40" s="295"/>
    </row>
    <row r="41" spans="1:9" ht="20" customHeight="1">
      <c r="A41" s="155" t="str">
        <f>'BASE PAX'!A16</f>
        <v>DINNER 2</v>
      </c>
      <c r="B41" s="89">
        <f>($B$5+($B$6*0.6))*'BASE PAX'!B16</f>
        <v>0</v>
      </c>
      <c r="C41" s="123">
        <f>'BASE PAX'!C16</f>
        <v>25000</v>
      </c>
      <c r="D41" s="125">
        <f>'BASE PAX'!D16</f>
        <v>30000</v>
      </c>
      <c r="E41" s="151">
        <f t="shared" si="4"/>
        <v>0</v>
      </c>
      <c r="F41" s="124">
        <f t="shared" si="3"/>
        <v>0</v>
      </c>
      <c r="G41" s="146">
        <f t="shared" si="5"/>
        <v>0</v>
      </c>
      <c r="H41" s="294"/>
      <c r="I41" s="295"/>
    </row>
    <row r="42" spans="1:9" ht="20" customHeight="1">
      <c r="A42" s="155" t="str">
        <f>'BASE PAX'!A17</f>
        <v>DINNER 3</v>
      </c>
      <c r="B42" s="89">
        <f>($B$5+($B$6*0.6))*'BASE PAX'!B17</f>
        <v>0</v>
      </c>
      <c r="C42" s="123">
        <f>'BASE PAX'!C17</f>
        <v>50000</v>
      </c>
      <c r="D42" s="125">
        <f>'BASE PAX'!D17</f>
        <v>60000</v>
      </c>
      <c r="E42" s="151">
        <f t="shared" si="4"/>
        <v>0</v>
      </c>
      <c r="F42" s="124">
        <f t="shared" si="3"/>
        <v>0</v>
      </c>
      <c r="G42" s="146">
        <f t="shared" si="5"/>
        <v>0</v>
      </c>
      <c r="H42" s="294"/>
      <c r="I42" s="295"/>
    </row>
    <row r="43" spans="1:9" ht="20" customHeight="1">
      <c r="A43" s="155" t="str">
        <f>'BASE PAX'!A18</f>
        <v>DINNER 4</v>
      </c>
      <c r="B43" s="89">
        <f>($B$5+($B$6*0.5))*'BASE PAX'!B18</f>
        <v>0</v>
      </c>
      <c r="C43" s="123">
        <f>'BASE PAX'!C18</f>
        <v>65000</v>
      </c>
      <c r="D43" s="125">
        <f>'BASE PAX'!D18</f>
        <v>78000</v>
      </c>
      <c r="E43" s="151">
        <f t="shared" si="4"/>
        <v>0</v>
      </c>
      <c r="F43" s="124">
        <f t="shared" si="3"/>
        <v>0</v>
      </c>
      <c r="G43" s="146">
        <f t="shared" si="5"/>
        <v>0</v>
      </c>
      <c r="H43" s="294"/>
      <c r="I43" s="295"/>
    </row>
    <row r="44" spans="1:9" ht="20" customHeight="1">
      <c r="A44" s="155" t="str">
        <f>'BASE PAX'!A19</f>
        <v>DINNER 5</v>
      </c>
      <c r="B44" s="89">
        <f>($B$5+($B$6*0.6))*'BASE PAX'!B19</f>
        <v>0</v>
      </c>
      <c r="C44" s="123">
        <f>'BASE PAX'!C19</f>
        <v>75000</v>
      </c>
      <c r="D44" s="125">
        <f>'BASE PAX'!D19</f>
        <v>90000</v>
      </c>
      <c r="E44" s="151">
        <f t="shared" si="4"/>
        <v>0</v>
      </c>
      <c r="F44" s="124">
        <f t="shared" si="3"/>
        <v>0</v>
      </c>
      <c r="G44" s="146">
        <f t="shared" si="5"/>
        <v>0</v>
      </c>
      <c r="H44" s="294"/>
      <c r="I44" s="295"/>
    </row>
    <row r="45" spans="1:9" ht="20" customHeight="1">
      <c r="A45" s="155" t="str">
        <f>'BASE PAX'!A20</f>
        <v>DINNER 6</v>
      </c>
      <c r="B45" s="89">
        <f>($B$5+($B$6*0.5))*'BASE PAX'!B20</f>
        <v>0</v>
      </c>
      <c r="C45" s="123">
        <f>'BASE PAX'!C20</f>
        <v>0</v>
      </c>
      <c r="D45" s="125">
        <f>'BASE PAX'!D20</f>
        <v>0</v>
      </c>
      <c r="E45" s="151">
        <f t="shared" si="4"/>
        <v>0</v>
      </c>
      <c r="F45" s="124">
        <f t="shared" si="3"/>
        <v>0</v>
      </c>
      <c r="G45" s="146">
        <f t="shared" si="5"/>
        <v>0</v>
      </c>
      <c r="H45" s="294"/>
      <c r="I45" s="295"/>
    </row>
    <row r="46" spans="1:9" ht="20" customHeight="1">
      <c r="A46" s="155" t="str">
        <f>'BASE PAX'!A21</f>
        <v>DINNER 7</v>
      </c>
      <c r="B46" s="89">
        <f>($B$5+($B$6*0.6))*'BASE PAX'!B21</f>
        <v>0</v>
      </c>
      <c r="C46" s="123">
        <f>'BASE PAX'!C21</f>
        <v>75000</v>
      </c>
      <c r="D46" s="125">
        <f>'BASE PAX'!D21</f>
        <v>90000</v>
      </c>
      <c r="E46" s="151">
        <f t="shared" si="4"/>
        <v>0</v>
      </c>
      <c r="F46" s="124">
        <f t="shared" si="3"/>
        <v>0</v>
      </c>
      <c r="G46" s="146">
        <f t="shared" si="5"/>
        <v>0</v>
      </c>
      <c r="H46" s="294"/>
      <c r="I46" s="295"/>
    </row>
    <row r="47" spans="1:9" ht="20" customHeight="1">
      <c r="A47" s="155" t="str">
        <f>'BASE PAX'!A22</f>
        <v>QUANT. TOTAL | PADRAO ALMOÇO</v>
      </c>
      <c r="B47" s="89">
        <f>($B$5+$B$6)*'BASE PAX'!B22</f>
        <v>0</v>
      </c>
      <c r="C47" s="123"/>
      <c r="D47" s="125"/>
      <c r="E47" s="151"/>
      <c r="F47" s="124"/>
      <c r="G47" s="146">
        <f>0.2*I47</f>
        <v>0</v>
      </c>
      <c r="H47" s="293" t="str">
        <f>'BASE PAX'!A22</f>
        <v>QUANT. TOTAL | PADRAO ALMOÇO</v>
      </c>
      <c r="I47" s="298">
        <f>'BASE PAX'!B22*($B$5*'BASE PAX'!G22+$B$6*'BASE PAX'!H22)</f>
        <v>0</v>
      </c>
    </row>
    <row r="48" spans="1:9" ht="20" customHeight="1" thickBot="1">
      <c r="A48" s="163" t="str">
        <f>'BASE PAX'!A23</f>
        <v>QUANT. TOTAL | PADRAO JANTAR</v>
      </c>
      <c r="B48" s="170">
        <f>($B$5+$B$6)*'BASE PAX'!B23</f>
        <v>0</v>
      </c>
      <c r="C48" s="165"/>
      <c r="D48" s="166"/>
      <c r="E48" s="167"/>
      <c r="F48" s="168"/>
      <c r="G48" s="169">
        <f>0.2*I48</f>
        <v>0</v>
      </c>
      <c r="H48" s="293" t="str">
        <f>'BASE PAX'!A23</f>
        <v>QUANT. TOTAL | PADRAO JANTAR</v>
      </c>
      <c r="I48" s="298">
        <f>'BASE PAX'!B23*($B$5*'BASE PAX'!G23+$B$6*'BASE PAX'!H23)</f>
        <v>0</v>
      </c>
    </row>
    <row r="49" spans="1:16" ht="29" customHeight="1" thickBot="1">
      <c r="A49" s="161" t="s">
        <v>72</v>
      </c>
      <c r="B49" s="157"/>
      <c r="C49" s="158"/>
      <c r="D49" s="152"/>
      <c r="E49" s="300">
        <f>SUM(E31:E48)</f>
        <v>0</v>
      </c>
      <c r="F49" s="104">
        <f>SUM(F31:F48)</f>
        <v>0</v>
      </c>
      <c r="G49" s="162">
        <f>SUM(G31:G48)</f>
        <v>0</v>
      </c>
      <c r="H49" s="302" t="s">
        <v>55</v>
      </c>
      <c r="I49" s="301">
        <f>I31+I47+I48</f>
        <v>0</v>
      </c>
      <c r="J49" s="296">
        <f>I49+E49</f>
        <v>0</v>
      </c>
      <c r="K49" s="297" t="s">
        <v>160</v>
      </c>
    </row>
    <row r="50" spans="1:16" s="8" customFormat="1" ht="11" customHeight="1" thickBot="1">
      <c r="A50" s="16"/>
      <c r="B50" s="56"/>
      <c r="C50" s="105"/>
      <c r="D50" s="102"/>
      <c r="E50" s="102"/>
      <c r="F50" s="7"/>
      <c r="G50" s="17"/>
      <c r="H50" s="7"/>
      <c r="I50" s="295"/>
      <c r="J50" s="7"/>
      <c r="K50" s="7"/>
      <c r="L50" s="7"/>
      <c r="M50" s="7"/>
      <c r="N50" s="7"/>
      <c r="O50" s="7"/>
      <c r="P50" s="7"/>
    </row>
    <row r="51" spans="1:16" ht="34" customHeight="1" thickBot="1">
      <c r="A51" s="21" t="s">
        <v>161</v>
      </c>
      <c r="B51" s="207" t="s">
        <v>52</v>
      </c>
      <c r="C51" s="208" t="s">
        <v>53</v>
      </c>
      <c r="D51" s="209" t="s">
        <v>54</v>
      </c>
      <c r="E51" s="172" t="s">
        <v>55</v>
      </c>
      <c r="F51" s="142" t="s">
        <v>158</v>
      </c>
      <c r="G51" s="182" t="s">
        <v>159</v>
      </c>
    </row>
    <row r="52" spans="1:16" ht="20" customHeight="1">
      <c r="A52" s="76" t="str">
        <f>'BASE PAX'!A27</f>
        <v>SUCOS</v>
      </c>
      <c r="B52" s="205">
        <f>'BASE PAX'!B27</f>
        <v>0</v>
      </c>
      <c r="C52" s="193">
        <f>'BASE PAX'!C27</f>
        <v>0</v>
      </c>
      <c r="D52" s="206">
        <f t="shared" ref="D52:D58" si="6">(C52*0.2)+C52</f>
        <v>0</v>
      </c>
      <c r="E52" s="174">
        <f t="shared" ref="E52:E58" si="7">D52*B52</f>
        <v>0</v>
      </c>
      <c r="F52" s="173">
        <f t="shared" ref="F52:F58" si="8">B52*C52</f>
        <v>0</v>
      </c>
      <c r="G52" s="183">
        <f t="shared" ref="G52:G59" si="9">E52-F52</f>
        <v>0</v>
      </c>
    </row>
    <row r="53" spans="1:16" ht="20" customHeight="1">
      <c r="A53" s="76" t="str">
        <f>'BASE PAX'!A28</f>
        <v>SUCOS</v>
      </c>
      <c r="B53" s="205">
        <f>'BASE PAX'!B28</f>
        <v>0</v>
      </c>
      <c r="C53" s="175">
        <f>'BASE PAX'!C28</f>
        <v>0</v>
      </c>
      <c r="D53" s="176">
        <f t="shared" si="6"/>
        <v>0</v>
      </c>
      <c r="E53" s="174">
        <f t="shared" si="7"/>
        <v>0</v>
      </c>
      <c r="F53" s="173">
        <f t="shared" si="8"/>
        <v>0</v>
      </c>
      <c r="G53" s="183">
        <f t="shared" si="9"/>
        <v>0</v>
      </c>
    </row>
    <row r="54" spans="1:16" ht="20" customHeight="1">
      <c r="A54" s="87" t="str">
        <f>'BASE PAX'!A29</f>
        <v>CERVEJAS</v>
      </c>
      <c r="B54" s="205">
        <f>'BASE PAX'!B29</f>
        <v>0</v>
      </c>
      <c r="C54" s="175">
        <f>'BASE PAX'!C29</f>
        <v>2000</v>
      </c>
      <c r="D54" s="176">
        <f t="shared" si="6"/>
        <v>2400</v>
      </c>
      <c r="E54" s="174">
        <f t="shared" si="7"/>
        <v>0</v>
      </c>
      <c r="F54" s="173">
        <f t="shared" si="8"/>
        <v>0</v>
      </c>
      <c r="G54" s="183">
        <f t="shared" si="9"/>
        <v>0</v>
      </c>
    </row>
    <row r="55" spans="1:16" ht="20" customHeight="1">
      <c r="A55" s="87" t="str">
        <f>'BASE PAX'!A30</f>
        <v>VINHOS</v>
      </c>
      <c r="B55" s="205">
        <f>'BASE PAX'!B30</f>
        <v>0</v>
      </c>
      <c r="C55" s="175">
        <f>'BASE PAX'!C30</f>
        <v>8000</v>
      </c>
      <c r="D55" s="176">
        <f t="shared" si="6"/>
        <v>9600</v>
      </c>
      <c r="E55" s="174">
        <f t="shared" si="7"/>
        <v>0</v>
      </c>
      <c r="F55" s="173">
        <f t="shared" si="8"/>
        <v>0</v>
      </c>
      <c r="G55" s="183">
        <f t="shared" si="9"/>
        <v>0</v>
      </c>
    </row>
    <row r="56" spans="1:16" ht="20" customHeight="1">
      <c r="A56" s="87" t="str">
        <f>'BASE PAX'!A31</f>
        <v>DRINKS</v>
      </c>
      <c r="B56" s="205">
        <f>'BASE PAX'!B31</f>
        <v>0</v>
      </c>
      <c r="C56" s="175">
        <f>'BASE PAX'!C31</f>
        <v>15000</v>
      </c>
      <c r="D56" s="176">
        <f t="shared" si="6"/>
        <v>18000</v>
      </c>
      <c r="E56" s="174">
        <f t="shared" si="7"/>
        <v>0</v>
      </c>
      <c r="F56" s="173">
        <f t="shared" si="8"/>
        <v>0</v>
      </c>
      <c r="G56" s="183">
        <f t="shared" si="9"/>
        <v>0</v>
      </c>
    </row>
    <row r="57" spans="1:16" ht="20" customHeight="1">
      <c r="A57" s="87" t="str">
        <f>'BASE PAX'!A32</f>
        <v>COOLER</v>
      </c>
      <c r="B57" s="205">
        <f>'BASE PAX'!B32</f>
        <v>0</v>
      </c>
      <c r="C57" s="175">
        <f>'BASE PAX'!C32</f>
        <v>5000</v>
      </c>
      <c r="D57" s="176">
        <f t="shared" si="6"/>
        <v>6000</v>
      </c>
      <c r="E57" s="174">
        <f t="shared" si="7"/>
        <v>0</v>
      </c>
      <c r="F57" s="173">
        <f t="shared" si="8"/>
        <v>0</v>
      </c>
      <c r="G57" s="183">
        <f t="shared" si="9"/>
        <v>0</v>
      </c>
    </row>
    <row r="58" spans="1:16" ht="20" customHeight="1" thickBot="1">
      <c r="A58" s="180">
        <f>'BASE PAX'!A33</f>
        <v>0</v>
      </c>
      <c r="B58" s="205">
        <f>'BASE PAX'!B33</f>
        <v>0</v>
      </c>
      <c r="C58" s="178">
        <f>'BASE PAX'!C33</f>
        <v>0</v>
      </c>
      <c r="D58" s="179">
        <f t="shared" si="6"/>
        <v>0</v>
      </c>
      <c r="E58" s="184">
        <f t="shared" si="7"/>
        <v>0</v>
      </c>
      <c r="F58" s="185">
        <f t="shared" si="8"/>
        <v>0</v>
      </c>
      <c r="G58" s="186">
        <f t="shared" si="9"/>
        <v>0</v>
      </c>
    </row>
    <row r="59" spans="1:16" ht="48" customHeight="1" thickBot="1">
      <c r="A59" s="21" t="s">
        <v>79</v>
      </c>
      <c r="B59" s="77"/>
      <c r="C59" s="126"/>
      <c r="D59" s="181"/>
      <c r="E59" s="127">
        <f>SUM(E52:E58)</f>
        <v>0</v>
      </c>
      <c r="F59" s="188">
        <f>SUM(F52:F58)</f>
        <v>0</v>
      </c>
      <c r="G59" s="189">
        <f t="shared" si="9"/>
        <v>0</v>
      </c>
    </row>
    <row r="60" spans="1:16" s="8" customFormat="1" ht="11" customHeight="1" thickBot="1">
      <c r="A60" s="16"/>
      <c r="B60" s="56"/>
      <c r="C60" s="105"/>
      <c r="D60" s="102"/>
      <c r="E60" s="102"/>
      <c r="F60" s="7"/>
      <c r="G60" s="17"/>
      <c r="H60" s="7"/>
      <c r="I60" s="7"/>
      <c r="J60" s="7"/>
      <c r="K60" s="7"/>
      <c r="L60" s="7"/>
      <c r="M60" s="7"/>
      <c r="N60" s="7"/>
      <c r="O60" s="7"/>
      <c r="P60" s="7"/>
    </row>
    <row r="61" spans="1:16" s="10" customFormat="1" ht="42" customHeight="1" thickBot="1">
      <c r="A61" s="226" t="s">
        <v>18</v>
      </c>
      <c r="B61" s="227" t="s">
        <v>52</v>
      </c>
      <c r="C61" s="228" t="s">
        <v>53</v>
      </c>
      <c r="D61" s="229" t="s">
        <v>54</v>
      </c>
      <c r="E61" s="229" t="s">
        <v>55</v>
      </c>
      <c r="F61" s="228" t="s">
        <v>158</v>
      </c>
      <c r="G61" s="230" t="s">
        <v>159</v>
      </c>
    </row>
    <row r="62" spans="1:16" ht="20" customHeight="1">
      <c r="A62" s="223" t="str">
        <f>'BASE PAX'!A37</f>
        <v>HOTTUBE</v>
      </c>
      <c r="B62" s="224">
        <f>'BASE PAX'!B37</f>
        <v>0</v>
      </c>
      <c r="C62" s="195">
        <f>'BASE PAX'!C37</f>
        <v>12000</v>
      </c>
      <c r="D62" s="225">
        <f t="shared" ref="D62:D71" si="10">C62*0.2+C62</f>
        <v>14400</v>
      </c>
      <c r="E62" s="225">
        <f t="shared" ref="E62:E71" si="11">D62*B62</f>
        <v>0</v>
      </c>
      <c r="F62" s="195">
        <f t="shared" ref="F62:F72" si="12">B62*C62</f>
        <v>0</v>
      </c>
      <c r="G62" s="194">
        <f t="shared" ref="G62:G72" si="13">E62-F62</f>
        <v>0</v>
      </c>
    </row>
    <row r="63" spans="1:16" ht="20" customHeight="1">
      <c r="A63" s="219" t="str">
        <f>'BASE PAX'!A38</f>
        <v>TREKKING 1/2 DAY</v>
      </c>
      <c r="B63" s="224">
        <f>'BASE PAX'!B38</f>
        <v>0</v>
      </c>
      <c r="C63" s="196">
        <f>'BASE PAX'!C38</f>
        <v>60000</v>
      </c>
      <c r="D63" s="220">
        <f t="shared" si="10"/>
        <v>72000</v>
      </c>
      <c r="E63" s="220">
        <f t="shared" si="11"/>
        <v>0</v>
      </c>
      <c r="F63" s="196">
        <f t="shared" si="12"/>
        <v>0</v>
      </c>
      <c r="G63" s="190">
        <f t="shared" si="13"/>
        <v>0</v>
      </c>
    </row>
    <row r="64" spans="1:16" ht="20" customHeight="1">
      <c r="A64" s="219" t="str">
        <f>'BASE PAX'!A39</f>
        <v>TREKKING FUK DAY</v>
      </c>
      <c r="B64" s="224">
        <f>'BASE PAX'!B39</f>
        <v>0</v>
      </c>
      <c r="C64" s="196">
        <f>'BASE PAX'!C39</f>
        <v>90000</v>
      </c>
      <c r="D64" s="220">
        <f t="shared" si="10"/>
        <v>108000</v>
      </c>
      <c r="E64" s="220">
        <f t="shared" si="11"/>
        <v>0</v>
      </c>
      <c r="F64" s="196">
        <f t="shared" si="12"/>
        <v>0</v>
      </c>
      <c r="G64" s="190">
        <f t="shared" si="13"/>
        <v>0</v>
      </c>
    </row>
    <row r="65" spans="1:16" ht="20" customHeight="1">
      <c r="A65" s="219" t="str">
        <f>'BASE PAX'!A40</f>
        <v>FLOTADA FAMILIAR</v>
      </c>
      <c r="B65" s="224">
        <f>'BASE PAX'!B40</f>
        <v>0</v>
      </c>
      <c r="C65" s="196">
        <f>'BASE PAX'!C40</f>
        <v>60000</v>
      </c>
      <c r="D65" s="220">
        <f t="shared" si="10"/>
        <v>72000</v>
      </c>
      <c r="E65" s="220">
        <f t="shared" si="11"/>
        <v>0</v>
      </c>
      <c r="F65" s="196">
        <f t="shared" si="12"/>
        <v>0</v>
      </c>
      <c r="G65" s="190">
        <f t="shared" si="13"/>
        <v>0</v>
      </c>
    </row>
    <row r="66" spans="1:16" ht="20" customHeight="1">
      <c r="A66" s="219" t="str">
        <f>'BASE PAX'!A41</f>
        <v>RAFTING 1/2 DAY</v>
      </c>
      <c r="B66" s="224">
        <f>'BASE PAX'!B41</f>
        <v>0</v>
      </c>
      <c r="C66" s="196">
        <f>'BASE PAX'!C41</f>
        <v>75000</v>
      </c>
      <c r="D66" s="220">
        <f t="shared" si="10"/>
        <v>90000</v>
      </c>
      <c r="E66" s="220">
        <f t="shared" si="11"/>
        <v>0</v>
      </c>
      <c r="F66" s="196">
        <f t="shared" si="12"/>
        <v>0</v>
      </c>
      <c r="G66" s="190">
        <f t="shared" si="13"/>
        <v>0</v>
      </c>
    </row>
    <row r="67" spans="1:16" ht="20" customHeight="1">
      <c r="A67" s="219" t="str">
        <f>'BASE PAX'!A42</f>
        <v>RAFTING FULL DAY</v>
      </c>
      <c r="B67" s="224">
        <f>'BASE PAX'!B42</f>
        <v>0</v>
      </c>
      <c r="C67" s="196">
        <f>'BASE PAX'!C42</f>
        <v>110000</v>
      </c>
      <c r="D67" s="220">
        <f t="shared" si="10"/>
        <v>132000</v>
      </c>
      <c r="E67" s="220">
        <f t="shared" si="11"/>
        <v>0</v>
      </c>
      <c r="F67" s="196">
        <f t="shared" si="12"/>
        <v>0</v>
      </c>
      <c r="G67" s="190">
        <f t="shared" si="13"/>
        <v>0</v>
      </c>
    </row>
    <row r="68" spans="1:16" ht="20" customHeight="1">
      <c r="A68" s="219" t="str">
        <f>'BASE PAX'!A43</f>
        <v>CABALGADA 1/2 DAy</v>
      </c>
      <c r="B68" s="224">
        <f>'BASE PAX'!B43</f>
        <v>0</v>
      </c>
      <c r="C68" s="196">
        <f>'BASE PAX'!C43</f>
        <v>90000</v>
      </c>
      <c r="D68" s="220">
        <f t="shared" si="10"/>
        <v>108000</v>
      </c>
      <c r="E68" s="220">
        <f t="shared" si="11"/>
        <v>0</v>
      </c>
      <c r="F68" s="196">
        <f t="shared" si="12"/>
        <v>0</v>
      </c>
      <c r="G68" s="190">
        <f t="shared" si="13"/>
        <v>0</v>
      </c>
    </row>
    <row r="69" spans="1:16" ht="20" customHeight="1">
      <c r="A69" s="219" t="str">
        <f>'BASE PAX'!A44</f>
        <v>CABALGADA FULL DAY</v>
      </c>
      <c r="B69" s="224">
        <f>'BASE PAX'!B44</f>
        <v>0</v>
      </c>
      <c r="C69" s="196">
        <f>'BASE PAX'!C44</f>
        <v>140000</v>
      </c>
      <c r="D69" s="220">
        <f t="shared" si="10"/>
        <v>168000</v>
      </c>
      <c r="E69" s="220">
        <f t="shared" si="11"/>
        <v>0</v>
      </c>
      <c r="F69" s="196">
        <f t="shared" si="12"/>
        <v>0</v>
      </c>
      <c r="G69" s="190">
        <f t="shared" si="13"/>
        <v>0</v>
      </c>
    </row>
    <row r="70" spans="1:16" ht="20" customHeight="1">
      <c r="A70" s="219" t="str">
        <f>'BASE PAX'!A45</f>
        <v>LANCHA YELCHO</v>
      </c>
      <c r="B70" s="224">
        <f>'BASE PAX'!B45</f>
        <v>0</v>
      </c>
      <c r="C70" s="196">
        <f>'BASE PAX'!C45</f>
        <v>120000</v>
      </c>
      <c r="D70" s="220">
        <f t="shared" si="10"/>
        <v>144000</v>
      </c>
      <c r="E70" s="220">
        <f t="shared" si="11"/>
        <v>0</v>
      </c>
      <c r="F70" s="196">
        <f t="shared" si="12"/>
        <v>0</v>
      </c>
      <c r="G70" s="190">
        <f t="shared" si="13"/>
        <v>0</v>
      </c>
    </row>
    <row r="71" spans="1:16" ht="20" customHeight="1" thickBot="1">
      <c r="A71" s="221" t="str">
        <f>'BASE PAX'!A46</f>
        <v>RECREACAO INFANTIL 3HS</v>
      </c>
      <c r="B71" s="224">
        <f>'BASE PAX'!B46</f>
        <v>0</v>
      </c>
      <c r="C71" s="197">
        <f>'BASE PAX'!C46</f>
        <v>30000</v>
      </c>
      <c r="D71" s="220">
        <f t="shared" si="10"/>
        <v>36000</v>
      </c>
      <c r="E71" s="222">
        <f t="shared" si="11"/>
        <v>0</v>
      </c>
      <c r="F71" s="197">
        <f t="shared" si="12"/>
        <v>0</v>
      </c>
      <c r="G71" s="192">
        <f t="shared" si="13"/>
        <v>0</v>
      </c>
    </row>
    <row r="72" spans="1:16" ht="48" customHeight="1" thickBot="1">
      <c r="A72" s="22" t="s">
        <v>84</v>
      </c>
      <c r="B72" s="79"/>
      <c r="C72" s="128"/>
      <c r="D72" s="128"/>
      <c r="E72" s="198">
        <f>SUM(E62:E71)</f>
        <v>0</v>
      </c>
      <c r="F72" s="204">
        <f t="shared" si="12"/>
        <v>0</v>
      </c>
      <c r="G72" s="203">
        <f t="shared" si="13"/>
        <v>0</v>
      </c>
    </row>
    <row r="73" spans="1:16" ht="37" customHeight="1" thickBot="1"/>
    <row r="74" spans="1:16" s="8" customFormat="1" ht="36" customHeight="1" thickBot="1">
      <c r="A74" s="23" t="s">
        <v>116</v>
      </c>
      <c r="B74" s="214" t="s">
        <v>52</v>
      </c>
      <c r="C74" s="215" t="s">
        <v>53</v>
      </c>
      <c r="D74" s="153" t="s">
        <v>54</v>
      </c>
      <c r="E74" s="153" t="s">
        <v>55</v>
      </c>
      <c r="F74" s="143" t="s">
        <v>162</v>
      </c>
      <c r="G74" s="147" t="s">
        <v>159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 ht="20" customHeight="1">
      <c r="A75" s="88" t="str">
        <f>'BASE PAX'!A50</f>
        <v>TRANSFER AEROPORTO CHEGADA</v>
      </c>
      <c r="B75" s="211">
        <f>'BASE PAX'!B50</f>
        <v>0</v>
      </c>
      <c r="C75" s="213">
        <v>50000</v>
      </c>
      <c r="D75" s="231">
        <f>C75*0.2+C75</f>
        <v>60000</v>
      </c>
      <c r="E75" s="231">
        <f>D75*B75</f>
        <v>0</v>
      </c>
      <c r="F75" s="210">
        <f>B75*C75</f>
        <v>0</v>
      </c>
      <c r="G75" s="199">
        <f t="shared" ref="G75:G80" si="14">E75-F75</f>
        <v>0</v>
      </c>
    </row>
    <row r="76" spans="1:16" ht="20" customHeight="1">
      <c r="A76" s="88" t="str">
        <f>'BASE PAX'!A51</f>
        <v>TRANSFER AEROPORTO PARTIDA</v>
      </c>
      <c r="B76" s="211">
        <f>'BASE PAX'!B51</f>
        <v>0</v>
      </c>
      <c r="C76" s="212">
        <f>'BASE PAX'!C51</f>
        <v>80000</v>
      </c>
      <c r="D76" s="232">
        <f>C76*0.2+C76</f>
        <v>96000</v>
      </c>
      <c r="E76" s="232">
        <f>D76*B76</f>
        <v>0</v>
      </c>
      <c r="F76" s="210">
        <f>B76*C76</f>
        <v>0</v>
      </c>
      <c r="G76" s="200">
        <f t="shared" si="14"/>
        <v>0</v>
      </c>
    </row>
    <row r="77" spans="1:16" ht="20" customHeight="1">
      <c r="A77" s="88" t="str">
        <f>'BASE PAX'!A52</f>
        <v>TRANSFERS INTERNO</v>
      </c>
      <c r="B77" s="211">
        <f>'BASE PAX'!B52</f>
        <v>0</v>
      </c>
      <c r="C77" s="212">
        <f>'BASE PAX'!C52</f>
        <v>18000</v>
      </c>
      <c r="D77" s="232">
        <f>C77*0.2+C77</f>
        <v>21600</v>
      </c>
      <c r="E77" s="232">
        <f>D77*B77</f>
        <v>0</v>
      </c>
      <c r="F77" s="210">
        <f>B77*C77</f>
        <v>0</v>
      </c>
      <c r="G77" s="200">
        <f t="shared" si="14"/>
        <v>0</v>
      </c>
    </row>
    <row r="78" spans="1:16" ht="20" customHeight="1">
      <c r="A78" s="88" t="str">
        <f>'BASE PAX'!A53</f>
        <v>EXTRAS 1</v>
      </c>
      <c r="B78" s="211">
        <f>'BASE PAX'!B53</f>
        <v>0</v>
      </c>
      <c r="C78" s="212">
        <f>'BASE PAX'!C53</f>
        <v>150000</v>
      </c>
      <c r="D78" s="232">
        <f>C78*0.2+C78</f>
        <v>180000</v>
      </c>
      <c r="E78" s="232">
        <f>D78*B78</f>
        <v>0</v>
      </c>
      <c r="F78" s="210">
        <f>B78*C78</f>
        <v>0</v>
      </c>
      <c r="G78" s="200">
        <f t="shared" si="14"/>
        <v>0</v>
      </c>
    </row>
    <row r="79" spans="1:16" ht="20" customHeight="1" thickBot="1">
      <c r="A79" s="218" t="str">
        <f>'BASE PAX'!A54</f>
        <v>EXTRAS 2</v>
      </c>
      <c r="B79" s="211">
        <f>'BASE PAX'!B54</f>
        <v>0</v>
      </c>
      <c r="C79" s="216">
        <f>'BASE PAX'!C54</f>
        <v>0</v>
      </c>
      <c r="D79" s="233">
        <f>C79*0.2+C79</f>
        <v>0</v>
      </c>
      <c r="E79" s="233">
        <f>D79*B79</f>
        <v>0</v>
      </c>
      <c r="F79" s="217">
        <f>B79*C79</f>
        <v>0</v>
      </c>
      <c r="G79" s="201">
        <f t="shared" si="14"/>
        <v>0</v>
      </c>
    </row>
    <row r="80" spans="1:16" ht="44" customHeight="1" thickBot="1">
      <c r="A80" s="23" t="s">
        <v>89</v>
      </c>
      <c r="B80" s="80"/>
      <c r="C80" s="130"/>
      <c r="D80" s="130"/>
      <c r="E80" s="131">
        <f>SUM(E75:E79)</f>
        <v>0</v>
      </c>
      <c r="F80" s="131">
        <f>SUM(F75:F79)</f>
        <v>0</v>
      </c>
      <c r="G80" s="203">
        <f t="shared" si="14"/>
        <v>0</v>
      </c>
    </row>
    <row r="81" spans="1:16" s="8" customFormat="1" ht="11" customHeight="1" thickBot="1">
      <c r="A81" s="16"/>
      <c r="B81" s="56"/>
      <c r="C81" s="105"/>
      <c r="D81" s="102"/>
      <c r="E81" s="102"/>
      <c r="F81" s="7"/>
      <c r="G81" s="17"/>
      <c r="H81" s="7"/>
      <c r="I81" s="7"/>
      <c r="J81" s="7"/>
      <c r="K81" s="7"/>
      <c r="L81" s="7"/>
      <c r="M81" s="7"/>
      <c r="N81" s="7"/>
      <c r="O81" s="7"/>
      <c r="P81" s="7"/>
    </row>
    <row r="82" spans="1:16" s="9" customFormat="1" ht="42" customHeight="1" thickBot="1">
      <c r="A82" s="246" t="s">
        <v>117</v>
      </c>
      <c r="B82" s="247" t="s">
        <v>52</v>
      </c>
      <c r="C82" s="248" t="s">
        <v>53</v>
      </c>
      <c r="D82" s="249" t="s">
        <v>54</v>
      </c>
      <c r="E82" s="249" t="s">
        <v>55</v>
      </c>
      <c r="F82" s="248" t="s">
        <v>162</v>
      </c>
      <c r="G82" s="147" t="s">
        <v>159</v>
      </c>
    </row>
    <row r="83" spans="1:16" ht="20" customHeight="1">
      <c r="A83" s="81" t="str">
        <f>'BASE PAX'!A58</f>
        <v>WS INSTRUCTOR</v>
      </c>
      <c r="B83" s="238">
        <f>'BASE PAX'!B58</f>
        <v>0</v>
      </c>
      <c r="C83" s="239">
        <f>'BASE PAX'!C58</f>
        <v>3415000</v>
      </c>
      <c r="D83" s="240">
        <f>(C83*0.15)+C83</f>
        <v>3927250</v>
      </c>
      <c r="E83" s="240">
        <f>D83*B83</f>
        <v>0</v>
      </c>
      <c r="F83" s="234">
        <f>B83*C83</f>
        <v>0</v>
      </c>
      <c r="G83" s="199">
        <f>E83-F83</f>
        <v>0</v>
      </c>
    </row>
    <row r="84" spans="1:16" ht="20" customHeight="1">
      <c r="A84" s="81" t="str">
        <f>'BASE PAX'!A59</f>
        <v>PRODUCER FEE</v>
      </c>
      <c r="B84" s="235">
        <f>'BASE PAX'!B59</f>
        <v>0</v>
      </c>
      <c r="C84" s="236">
        <f>'BASE PAX'!C59</f>
        <v>180000</v>
      </c>
      <c r="D84" s="237">
        <f>(C84*0.15)+C84</f>
        <v>207000</v>
      </c>
      <c r="E84" s="237">
        <f>D84*B84</f>
        <v>0</v>
      </c>
      <c r="F84" s="234">
        <f>B84*C84</f>
        <v>0</v>
      </c>
      <c r="G84" s="200">
        <f>E84-F84</f>
        <v>0</v>
      </c>
    </row>
    <row r="85" spans="1:16" ht="20" customHeight="1" thickBot="1">
      <c r="A85" s="241">
        <f>'BASE PAX'!A60</f>
        <v>0</v>
      </c>
      <c r="B85" s="242">
        <f>'BASE PAX'!B60</f>
        <v>0</v>
      </c>
      <c r="C85" s="243">
        <f>'BASE PAX'!C60</f>
        <v>20000</v>
      </c>
      <c r="D85" s="244">
        <f>(C85*0.15)+C85</f>
        <v>23000</v>
      </c>
      <c r="E85" s="244">
        <f>D85*B85</f>
        <v>0</v>
      </c>
      <c r="F85" s="245">
        <f>B85*C85</f>
        <v>0</v>
      </c>
      <c r="G85" s="201">
        <f>E85-F85</f>
        <v>0</v>
      </c>
    </row>
    <row r="86" spans="1:16" ht="41" customHeight="1" thickBot="1">
      <c r="A86" s="24" t="s">
        <v>163</v>
      </c>
      <c r="B86" s="82"/>
      <c r="C86" s="132"/>
      <c r="D86" s="132"/>
      <c r="E86" s="133">
        <f>SUM(E83:E85)</f>
        <v>0</v>
      </c>
      <c r="F86" s="133">
        <f>SUM(F81:F85)</f>
        <v>0</v>
      </c>
      <c r="G86" s="203">
        <f>E86-F86</f>
        <v>0</v>
      </c>
    </row>
    <row r="87" spans="1:16" s="8" customFormat="1" ht="11" customHeight="1" thickBot="1">
      <c r="A87" s="16"/>
      <c r="B87" s="56"/>
      <c r="C87" s="105"/>
      <c r="D87" s="102"/>
      <c r="E87" s="102"/>
      <c r="F87" s="7"/>
      <c r="G87" s="17"/>
      <c r="H87" s="7"/>
      <c r="I87" s="7"/>
      <c r="J87" s="7"/>
      <c r="K87" s="7"/>
      <c r="L87" s="7"/>
      <c r="M87" s="7"/>
      <c r="N87" s="7"/>
      <c r="O87" s="7"/>
      <c r="P87" s="7"/>
    </row>
    <row r="88" spans="1:16" ht="38" customHeight="1" thickBot="1">
      <c r="A88" s="258" t="s">
        <v>164</v>
      </c>
      <c r="B88" s="259" t="s">
        <v>92</v>
      </c>
      <c r="C88" s="250" t="s">
        <v>53</v>
      </c>
      <c r="D88" s="260" t="s">
        <v>54</v>
      </c>
      <c r="E88" s="260" t="s">
        <v>55</v>
      </c>
      <c r="F88" s="250"/>
      <c r="G88" s="147" t="s">
        <v>159</v>
      </c>
    </row>
    <row r="89" spans="1:16" ht="20" customHeight="1">
      <c r="A89" s="255" t="str">
        <f>'BASE PAX'!A64</f>
        <v>COORDENAÇÃO PRODUÇÃO</v>
      </c>
      <c r="B89" s="256">
        <f>'BASE PAX'!B64</f>
        <v>0</v>
      </c>
      <c r="C89" s="257">
        <f>'BASE PAX'!C64</f>
        <v>50000</v>
      </c>
      <c r="D89" s="257">
        <f>'BASE PAX'!D64</f>
        <v>0</v>
      </c>
      <c r="E89" s="121">
        <f>D89*B89</f>
        <v>0</v>
      </c>
      <c r="F89" s="257"/>
      <c r="G89" s="199">
        <f t="shared" ref="G89:G94" si="15">E89*0.2</f>
        <v>0</v>
      </c>
    </row>
    <row r="90" spans="1:16" ht="20" customHeight="1">
      <c r="A90" s="251" t="str">
        <f>'BASE PAX'!A65</f>
        <v>EXTRA MÃO DE OBRA</v>
      </c>
      <c r="B90" s="256">
        <f>'BASE PAX'!B65</f>
        <v>0</v>
      </c>
      <c r="C90" s="253">
        <f>'BASE PAX'!C65</f>
        <v>50000</v>
      </c>
      <c r="D90" s="253">
        <f>'BASE PAX'!D65</f>
        <v>0</v>
      </c>
      <c r="E90" s="121">
        <f t="shared" ref="E90:E94" si="16">D90*B90</f>
        <v>0</v>
      </c>
      <c r="F90" s="253"/>
      <c r="G90" s="199">
        <f t="shared" si="15"/>
        <v>0</v>
      </c>
    </row>
    <row r="91" spans="1:16" ht="20" customHeight="1">
      <c r="A91" s="251" t="str">
        <f>'BASE PAX'!A66</f>
        <v>TAXA LIMPEZA CHECK IN / CHECKOUT</v>
      </c>
      <c r="B91" s="252">
        <f>'BASE PAX'!B66</f>
        <v>0</v>
      </c>
      <c r="C91" s="253">
        <f>'BASE PAX'!C66</f>
        <v>40000</v>
      </c>
      <c r="D91" s="253">
        <f>'BASE PAX'!D66</f>
        <v>0</v>
      </c>
      <c r="E91" s="121">
        <f t="shared" si="16"/>
        <v>0</v>
      </c>
      <c r="F91" s="253"/>
      <c r="G91" s="199">
        <f t="shared" si="15"/>
        <v>0</v>
      </c>
    </row>
    <row r="92" spans="1:16" ht="20" customHeight="1">
      <c r="A92" s="251" t="str">
        <f>'BASE PAX'!A67</f>
        <v>TAXA LIMPEZA DIARIA</v>
      </c>
      <c r="B92" s="254">
        <f>'BASE PAX'!B67</f>
        <v>0</v>
      </c>
      <c r="C92" s="253">
        <f>'BASE PAX'!C67</f>
        <v>30000</v>
      </c>
      <c r="D92" s="253">
        <f>'BASE PAX'!D67</f>
        <v>0</v>
      </c>
      <c r="E92" s="121">
        <f t="shared" si="16"/>
        <v>0</v>
      </c>
      <c r="F92" s="253"/>
      <c r="G92" s="199">
        <f t="shared" si="15"/>
        <v>0</v>
      </c>
    </row>
    <row r="93" spans="1:16" ht="20" customHeight="1">
      <c r="A93" s="251" t="str">
        <f>'BASE PAX'!A68</f>
        <v>SOUVENIR</v>
      </c>
      <c r="B93" s="254">
        <f>'BASE PAX'!B68</f>
        <v>0</v>
      </c>
      <c r="C93" s="253">
        <f>'BASE PAX'!C68</f>
        <v>15000</v>
      </c>
      <c r="D93" s="253">
        <f>'BASE PAX'!D68</f>
        <v>0</v>
      </c>
      <c r="E93" s="121">
        <f t="shared" si="16"/>
        <v>0</v>
      </c>
      <c r="F93" s="253"/>
      <c r="G93" s="199">
        <f t="shared" si="15"/>
        <v>0</v>
      </c>
    </row>
    <row r="94" spans="1:16" ht="20" customHeight="1" thickBot="1">
      <c r="A94" s="251" t="str">
        <f>'BASE PAX'!A69</f>
        <v>ASSISTENTE COORDENAÇÃO</v>
      </c>
      <c r="B94" s="256">
        <f>'BASE PAX'!B69</f>
        <v>0</v>
      </c>
      <c r="C94" s="253">
        <f>'BASE PAX'!C69</f>
        <v>30000</v>
      </c>
      <c r="D94" s="253">
        <f>'BASE PAX'!D69</f>
        <v>0</v>
      </c>
      <c r="E94" s="121">
        <f t="shared" si="16"/>
        <v>0</v>
      </c>
      <c r="F94" s="253"/>
      <c r="G94" s="199">
        <f t="shared" si="15"/>
        <v>0</v>
      </c>
    </row>
    <row r="95" spans="1:16" ht="41" customHeight="1" thickBot="1">
      <c r="A95" s="25" t="s">
        <v>101</v>
      </c>
      <c r="B95" s="83"/>
      <c r="C95" s="134"/>
      <c r="D95" s="134"/>
      <c r="E95" s="135">
        <f>SUM(E89:E94)</f>
        <v>0</v>
      </c>
      <c r="F95" s="135"/>
      <c r="G95" s="203">
        <f>SUM(G89:G94)</f>
        <v>0</v>
      </c>
    </row>
    <row r="96" spans="1:16" s="8" customFormat="1" ht="11" customHeight="1" thickBot="1">
      <c r="A96" s="16"/>
      <c r="B96" s="56"/>
      <c r="C96" s="105"/>
      <c r="D96" s="102"/>
      <c r="E96" s="102"/>
      <c r="F96" s="7"/>
      <c r="G96" s="17"/>
      <c r="H96" s="7"/>
      <c r="I96" s="7"/>
      <c r="J96" s="7"/>
      <c r="K96" s="7"/>
      <c r="L96" s="7"/>
      <c r="M96" s="7"/>
      <c r="N96" s="7"/>
      <c r="O96" s="7"/>
      <c r="P96" s="7"/>
    </row>
    <row r="97" spans="1:16" ht="38" customHeight="1" thickBot="1">
      <c r="A97" s="26" t="s">
        <v>165</v>
      </c>
      <c r="B97" s="27" t="s">
        <v>92</v>
      </c>
      <c r="C97" s="136" t="s">
        <v>53</v>
      </c>
      <c r="D97" s="136" t="s">
        <v>54</v>
      </c>
      <c r="E97" s="137" t="s">
        <v>55</v>
      </c>
      <c r="F97" s="20"/>
      <c r="G97" s="20"/>
    </row>
    <row r="98" spans="1:16" ht="23" customHeight="1" thickBot="1">
      <c r="A98" s="84" t="str">
        <f>'BASE PAX'!A73</f>
        <v xml:space="preserve">QUINCHO DAY USE / CABIN </v>
      </c>
      <c r="B98" s="279">
        <f>'BASE PAX'!B73</f>
        <v>0</v>
      </c>
      <c r="C98" s="138">
        <f>'BASE PAX'!C73</f>
        <v>15000</v>
      </c>
      <c r="D98" s="138">
        <f>C98+(C98*0.2)</f>
        <v>18000</v>
      </c>
      <c r="E98" s="139">
        <f>D98*B98</f>
        <v>0</v>
      </c>
      <c r="F98" s="19"/>
      <c r="G98" s="17"/>
    </row>
    <row r="99" spans="1:16" ht="42" customHeight="1" thickBot="1">
      <c r="A99" s="26" t="s">
        <v>104</v>
      </c>
      <c r="B99" s="86"/>
      <c r="C99" s="140"/>
      <c r="D99" s="140"/>
      <c r="E99" s="141">
        <f>E98</f>
        <v>0</v>
      </c>
    </row>
    <row r="100" spans="1:16" s="6" customFormat="1" ht="20" customHeight="1">
      <c r="A100" s="28"/>
      <c r="B100" s="52"/>
      <c r="C100" s="11"/>
      <c r="D100" s="11"/>
      <c r="E100" s="11"/>
      <c r="F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9" customHeight="1"/>
  </sheetData>
  <sheetProtection sheet="1" objects="1" scenarios="1"/>
  <mergeCells count="17">
    <mergeCell ref="A11:A12"/>
    <mergeCell ref="A28:D28"/>
    <mergeCell ref="B5:C5"/>
    <mergeCell ref="F20:F21"/>
    <mergeCell ref="B11:B12"/>
    <mergeCell ref="D11:D12"/>
    <mergeCell ref="B9:C9"/>
    <mergeCell ref="D9:E9"/>
    <mergeCell ref="B8:C8"/>
    <mergeCell ref="D8:E8"/>
    <mergeCell ref="D6:E6"/>
    <mergeCell ref="B6:C6"/>
    <mergeCell ref="I11:K11"/>
    <mergeCell ref="D7:E7"/>
    <mergeCell ref="B7:C7"/>
    <mergeCell ref="F11:G13"/>
    <mergeCell ref="G20:G21"/>
  </mergeCells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5"/>
  <dimension ref="A1:P101"/>
  <sheetViews>
    <sheetView topLeftCell="A2" zoomScale="125" zoomScaleNormal="84" workbookViewId="0">
      <selection activeCell="C92" sqref="C92"/>
    </sheetView>
  </sheetViews>
  <sheetFormatPr baseColWidth="10" defaultColWidth="11" defaultRowHeight="17"/>
  <cols>
    <col min="1" max="1" width="48.796875" style="7" customWidth="1"/>
    <col min="2" max="2" width="23.796875" style="52" customWidth="1"/>
    <col min="3" max="3" width="24" style="7" customWidth="1"/>
    <col min="4" max="4" width="22.796875" style="12" customWidth="1"/>
    <col min="5" max="5" width="22.19921875" style="11" customWidth="1"/>
    <col min="6" max="6" width="31" style="7" customWidth="1"/>
    <col min="7" max="7" width="27.796875" style="6" customWidth="1"/>
    <col min="8" max="8" width="32.3984375" style="7" customWidth="1"/>
    <col min="9" max="9" width="23.59765625" style="7" customWidth="1"/>
    <col min="10" max="10" width="25.19921875" style="7" customWidth="1"/>
    <col min="11" max="11" width="28.796875" style="7" customWidth="1"/>
    <col min="12" max="12" width="36.19921875" style="7" customWidth="1"/>
    <col min="13" max="28" width="11" style="7" customWidth="1"/>
    <col min="29" max="16384" width="11" style="7"/>
  </cols>
  <sheetData>
    <row r="1" spans="1:16" ht="22" hidden="1" customHeight="1" thickBot="1"/>
    <row r="2" spans="1:16" ht="7" customHeight="1">
      <c r="D2" s="13"/>
    </row>
    <row r="3" spans="1:16" s="10" customFormat="1" ht="1" customHeight="1">
      <c r="A3" s="14"/>
      <c r="B3" s="53"/>
      <c r="C3" s="15" t="s">
        <v>11</v>
      </c>
      <c r="D3" s="15"/>
      <c r="E3" s="15"/>
      <c r="G3" s="9"/>
    </row>
    <row r="4" spans="1:16" s="10" customFormat="1" ht="19" customHeight="1">
      <c r="A4" s="14"/>
      <c r="B4" s="53"/>
      <c r="C4" s="15"/>
      <c r="D4" s="15"/>
      <c r="E4" s="15"/>
      <c r="G4" s="9"/>
    </row>
    <row r="5" spans="1:16" s="10" customFormat="1" ht="54" customHeight="1">
      <c r="A5" s="54" t="s">
        <v>129</v>
      </c>
      <c r="B5" s="674">
        <v>2</v>
      </c>
      <c r="C5" s="675"/>
      <c r="D5" s="277" t="s">
        <v>14</v>
      </c>
      <c r="E5" s="277"/>
      <c r="F5" s="278"/>
      <c r="G5" s="9"/>
    </row>
    <row r="6" spans="1:16" s="8" customFormat="1" ht="37" customHeight="1">
      <c r="A6" s="54" t="s">
        <v>130</v>
      </c>
      <c r="B6" s="683">
        <v>2</v>
      </c>
      <c r="C6" s="684"/>
      <c r="D6" s="682" t="s">
        <v>131</v>
      </c>
      <c r="E6" s="661"/>
      <c r="F6" s="106">
        <f>D21</f>
        <v>0</v>
      </c>
      <c r="G6" s="9"/>
      <c r="H6" s="10"/>
    </row>
    <row r="7" spans="1:16" s="8" customFormat="1" ht="33" customHeight="1">
      <c r="A7" s="55" t="s">
        <v>132</v>
      </c>
      <c r="B7" s="662">
        <f>CALENDAR!C2</f>
        <v>0</v>
      </c>
      <c r="C7" s="661"/>
      <c r="D7" s="660" t="s">
        <v>133</v>
      </c>
      <c r="E7" s="661"/>
      <c r="F7" s="107">
        <f>SUM(F12:F20)</f>
        <v>0</v>
      </c>
      <c r="G7" s="9"/>
      <c r="H7" s="10"/>
    </row>
    <row r="8" spans="1:16" s="8" customFormat="1" ht="31" customHeight="1">
      <c r="A8" s="54" t="s">
        <v>134</v>
      </c>
      <c r="B8" s="680">
        <f>CALENDAR!C3</f>
        <v>0</v>
      </c>
      <c r="C8" s="661"/>
      <c r="D8" s="681" t="s">
        <v>135</v>
      </c>
      <c r="E8" s="661"/>
      <c r="F8" s="108">
        <f>F6-F7</f>
        <v>0</v>
      </c>
      <c r="G8" s="9"/>
      <c r="H8" s="10"/>
    </row>
    <row r="9" spans="1:16" s="8" customFormat="1" ht="32" customHeight="1">
      <c r="A9" s="55" t="s">
        <v>136</v>
      </c>
      <c r="B9" s="678">
        <f>CALENDAR!J2</f>
        <v>0</v>
      </c>
      <c r="C9" s="661"/>
      <c r="D9" s="679" t="s">
        <v>137</v>
      </c>
      <c r="E9" s="661"/>
      <c r="F9" s="1"/>
      <c r="G9" s="9"/>
      <c r="H9" s="10"/>
    </row>
    <row r="10" spans="1:16" s="8" customFormat="1" ht="30" customHeight="1" thickBot="1">
      <c r="A10" s="16"/>
      <c r="B10" s="56"/>
      <c r="C10" s="6"/>
      <c r="D10" s="7"/>
      <c r="E10" s="7"/>
      <c r="F10" s="7"/>
      <c r="G10" s="17"/>
      <c r="H10" s="7"/>
      <c r="I10" s="7"/>
      <c r="J10" s="7"/>
      <c r="K10" s="7"/>
      <c r="L10" s="7"/>
      <c r="M10" s="7"/>
      <c r="N10" s="7"/>
      <c r="O10" s="7"/>
      <c r="P10" s="7"/>
    </row>
    <row r="11" spans="1:16" s="6" customFormat="1" ht="44" customHeight="1" thickBot="1">
      <c r="A11" s="671" t="s">
        <v>138</v>
      </c>
      <c r="B11" s="677" t="s">
        <v>139</v>
      </c>
      <c r="C11" s="57" t="s">
        <v>140</v>
      </c>
      <c r="D11" s="677" t="s">
        <v>141</v>
      </c>
      <c r="E11" s="7"/>
      <c r="F11" s="738">
        <f>E5</f>
        <v>0</v>
      </c>
      <c r="G11" s="664"/>
      <c r="H11" s="7"/>
      <c r="I11" s="658" t="s">
        <v>142</v>
      </c>
      <c r="J11" s="659"/>
      <c r="K11" s="659"/>
      <c r="L11" s="7"/>
      <c r="M11" s="7"/>
      <c r="N11" s="7"/>
      <c r="O11" s="7"/>
      <c r="P11" s="7"/>
    </row>
    <row r="12" spans="1:16" s="6" customFormat="1" ht="32" customHeight="1">
      <c r="A12" s="659"/>
      <c r="B12" s="659"/>
      <c r="C12" s="58">
        <v>0.05</v>
      </c>
      <c r="D12" s="659"/>
      <c r="E12" s="7"/>
      <c r="F12" s="665"/>
      <c r="G12" s="666"/>
      <c r="H12" s="7"/>
      <c r="I12" s="59" t="s">
        <v>126</v>
      </c>
      <c r="J12" s="60" t="s">
        <v>143</v>
      </c>
      <c r="K12" s="60" t="s">
        <v>144</v>
      </c>
      <c r="L12" s="7"/>
      <c r="M12" s="7"/>
      <c r="N12" s="7"/>
      <c r="O12" s="7"/>
      <c r="P12" s="7"/>
    </row>
    <row r="13" spans="1:16" ht="22" customHeight="1" thickBot="1">
      <c r="A13" s="61" t="s">
        <v>15</v>
      </c>
      <c r="B13" s="109">
        <f>G28</f>
        <v>0</v>
      </c>
      <c r="C13" s="109">
        <f t="shared" ref="C13:C20" si="0">B13*$C$12</f>
        <v>0</v>
      </c>
      <c r="D13" s="109">
        <f t="shared" ref="D13:D20" si="1">B13+(B13*$C$12)</f>
        <v>0</v>
      </c>
      <c r="E13" s="7"/>
      <c r="F13" s="667"/>
      <c r="G13" s="668"/>
      <c r="I13" s="3"/>
      <c r="J13" s="4"/>
      <c r="K13" s="5"/>
    </row>
    <row r="14" spans="1:16" s="6" customFormat="1" ht="20" customHeight="1">
      <c r="A14" s="62" t="s">
        <v>16</v>
      </c>
      <c r="B14" s="110">
        <f>J49</f>
        <v>0</v>
      </c>
      <c r="C14" s="110">
        <f t="shared" si="0"/>
        <v>0</v>
      </c>
      <c r="D14" s="110">
        <f t="shared" si="1"/>
        <v>0</v>
      </c>
      <c r="E14" s="7"/>
      <c r="F14" s="271" t="str">
        <f t="shared" ref="F14:F19" si="2">A14</f>
        <v>2.FOOD</v>
      </c>
      <c r="G14" s="261">
        <f>G49</f>
        <v>0</v>
      </c>
      <c r="H14" s="7"/>
      <c r="I14" s="3"/>
      <c r="J14" s="4"/>
      <c r="K14" s="5"/>
      <c r="L14" s="7"/>
      <c r="M14" s="7"/>
      <c r="N14" s="7"/>
      <c r="O14" s="7"/>
      <c r="P14" s="7"/>
    </row>
    <row r="15" spans="1:16" s="6" customFormat="1" ht="20" customHeight="1">
      <c r="A15" s="63" t="s">
        <v>17</v>
      </c>
      <c r="B15" s="111">
        <f>E59</f>
        <v>0</v>
      </c>
      <c r="C15" s="111">
        <f t="shared" si="0"/>
        <v>0</v>
      </c>
      <c r="D15" s="111">
        <f t="shared" si="1"/>
        <v>0</v>
      </c>
      <c r="E15" s="7"/>
      <c r="F15" s="272" t="str">
        <f t="shared" si="2"/>
        <v>3.DRINKS</v>
      </c>
      <c r="G15" s="262">
        <f>G59</f>
        <v>0</v>
      </c>
      <c r="H15" s="7"/>
      <c r="I15" s="3"/>
      <c r="J15" s="4"/>
      <c r="K15" s="5"/>
      <c r="L15" s="7"/>
      <c r="M15" s="7"/>
      <c r="N15" s="7"/>
      <c r="O15" s="7"/>
      <c r="P15" s="7"/>
    </row>
    <row r="16" spans="1:16" s="6" customFormat="1" ht="20" customHeight="1">
      <c r="A16" s="55" t="s">
        <v>18</v>
      </c>
      <c r="B16" s="112">
        <f>$E$72</f>
        <v>0</v>
      </c>
      <c r="C16" s="112">
        <f t="shared" si="0"/>
        <v>0</v>
      </c>
      <c r="D16" s="112">
        <f t="shared" si="1"/>
        <v>0</v>
      </c>
      <c r="E16" s="7"/>
      <c r="F16" s="273" t="str">
        <f t="shared" si="2"/>
        <v>4. ACTIVITIES</v>
      </c>
      <c r="G16" s="263">
        <f>G72</f>
        <v>0</v>
      </c>
      <c r="H16" s="7"/>
      <c r="I16" s="3"/>
      <c r="J16" s="4"/>
      <c r="K16" s="5"/>
      <c r="L16" s="7"/>
      <c r="M16" s="7"/>
      <c r="N16" s="7"/>
      <c r="O16" s="7"/>
      <c r="P16" s="7"/>
    </row>
    <row r="17" spans="1:16" s="6" customFormat="1" ht="20" customHeight="1">
      <c r="A17" s="63" t="s">
        <v>19</v>
      </c>
      <c r="B17" s="111">
        <f>$E$80</f>
        <v>0</v>
      </c>
      <c r="C17" s="111">
        <f t="shared" si="0"/>
        <v>0</v>
      </c>
      <c r="D17" s="111">
        <f t="shared" si="1"/>
        <v>0</v>
      </c>
      <c r="E17" s="7"/>
      <c r="F17" s="274" t="str">
        <f t="shared" si="2"/>
        <v>5.TRANSPORT</v>
      </c>
      <c r="G17" s="174">
        <f>G80</f>
        <v>0</v>
      </c>
      <c r="H17" s="7"/>
      <c r="I17" s="3"/>
      <c r="J17" s="4"/>
      <c r="K17" s="5"/>
      <c r="L17" s="7"/>
      <c r="M17" s="7"/>
      <c r="N17" s="7"/>
      <c r="O17" s="7"/>
      <c r="P17" s="7"/>
    </row>
    <row r="18" spans="1:16" s="6" customFormat="1" ht="20" customHeight="1">
      <c r="A18" s="64" t="s">
        <v>20</v>
      </c>
      <c r="B18" s="113">
        <f>$E$86</f>
        <v>0</v>
      </c>
      <c r="C18" s="113">
        <f t="shared" si="0"/>
        <v>0</v>
      </c>
      <c r="D18" s="113">
        <f t="shared" si="1"/>
        <v>0</v>
      </c>
      <c r="E18" s="10"/>
      <c r="F18" s="275" t="str">
        <f t="shared" si="2"/>
        <v>6.EXPERIENCES</v>
      </c>
      <c r="G18" s="264">
        <f>G86</f>
        <v>0</v>
      </c>
      <c r="H18" s="7"/>
      <c r="I18" s="3"/>
      <c r="J18" s="4"/>
      <c r="K18" s="5"/>
      <c r="L18" s="7"/>
      <c r="M18" s="7"/>
      <c r="N18" s="7"/>
      <c r="O18" s="7"/>
      <c r="P18" s="7"/>
    </row>
    <row r="19" spans="1:16" s="6" customFormat="1" ht="20" customHeight="1">
      <c r="A19" s="65" t="s">
        <v>21</v>
      </c>
      <c r="B19" s="114">
        <f>$E$95</f>
        <v>0</v>
      </c>
      <c r="C19" s="114">
        <f t="shared" si="0"/>
        <v>0</v>
      </c>
      <c r="D19" s="114">
        <f t="shared" si="1"/>
        <v>0</v>
      </c>
      <c r="E19" s="7"/>
      <c r="F19" s="276" t="str">
        <f t="shared" si="2"/>
        <v>7.EXTRAS</v>
      </c>
      <c r="G19" s="151">
        <f>G95</f>
        <v>0</v>
      </c>
      <c r="H19" s="7"/>
      <c r="I19" s="3"/>
      <c r="J19" s="4"/>
      <c r="K19" s="5"/>
      <c r="L19" s="7"/>
      <c r="M19" s="7"/>
      <c r="N19" s="7"/>
      <c r="O19" s="7"/>
      <c r="P19" s="7"/>
    </row>
    <row r="20" spans="1:16" s="6" customFormat="1" ht="20" customHeight="1" thickBot="1">
      <c r="A20" s="66" t="s">
        <v>22</v>
      </c>
      <c r="B20" s="115">
        <f>$E$99</f>
        <v>0</v>
      </c>
      <c r="C20" s="115">
        <f t="shared" si="0"/>
        <v>0</v>
      </c>
      <c r="D20" s="115">
        <f t="shared" si="1"/>
        <v>0</v>
      </c>
      <c r="E20" s="7"/>
      <c r="F20" s="676" t="s">
        <v>145</v>
      </c>
      <c r="G20" s="669">
        <f>G14+G15+G16+G17+G18+G19</f>
        <v>0</v>
      </c>
      <c r="H20" s="7"/>
      <c r="I20" s="3"/>
      <c r="J20" s="4"/>
      <c r="K20" s="5"/>
      <c r="L20" s="7"/>
      <c r="M20" s="7"/>
      <c r="N20" s="7"/>
      <c r="O20" s="7"/>
      <c r="P20" s="7"/>
    </row>
    <row r="21" spans="1:16" ht="35" customHeight="1" thickBot="1">
      <c r="A21" s="67" t="s">
        <v>146</v>
      </c>
      <c r="B21" s="116">
        <f>SUM(B13:B20)</f>
        <v>0</v>
      </c>
      <c r="C21" s="116"/>
      <c r="D21" s="116">
        <f>SUM(D13:D20)</f>
        <v>0</v>
      </c>
      <c r="E21" s="51"/>
      <c r="F21" s="670"/>
      <c r="G21" s="670"/>
    </row>
    <row r="22" spans="1:16" s="8" customFormat="1" ht="11" customHeight="1" thickBot="1">
      <c r="A22" s="16"/>
      <c r="B22" s="56"/>
      <c r="C22" s="6"/>
      <c r="D22" s="7"/>
      <c r="E22" s="7"/>
      <c r="F22" s="7"/>
      <c r="G22" s="17"/>
      <c r="H22" s="7"/>
      <c r="I22" s="7"/>
      <c r="J22" s="7"/>
      <c r="K22" s="7"/>
      <c r="L22" s="7"/>
      <c r="M22" s="7"/>
      <c r="N22" s="7"/>
      <c r="O22" s="7"/>
      <c r="P22" s="7"/>
    </row>
    <row r="23" spans="1:16" ht="44" customHeight="1" thickBot="1">
      <c r="A23" s="68" t="s">
        <v>114</v>
      </c>
      <c r="B23" s="69" t="s">
        <v>52</v>
      </c>
      <c r="C23" s="69" t="s">
        <v>147</v>
      </c>
      <c r="D23" s="69" t="s">
        <v>148</v>
      </c>
      <c r="E23" s="70" t="s">
        <v>149</v>
      </c>
      <c r="F23" s="70" t="s">
        <v>150</v>
      </c>
      <c r="G23" s="70" t="s">
        <v>151</v>
      </c>
    </row>
    <row r="24" spans="1:16" ht="20" customHeight="1">
      <c r="A24" s="71" t="s">
        <v>174</v>
      </c>
      <c r="B24" s="93">
        <v>1</v>
      </c>
      <c r="C24" s="117">
        <f>398381.8</f>
        <v>398381.8</v>
      </c>
      <c r="D24" s="118"/>
      <c r="E24" s="119">
        <f>(C24+D24)*$B$9*B24</f>
        <v>0</v>
      </c>
      <c r="F24" s="2">
        <v>-0.15</v>
      </c>
      <c r="G24" s="119">
        <f>E24-(E24*F24)</f>
        <v>0</v>
      </c>
    </row>
    <row r="25" spans="1:16" ht="20" customHeight="1">
      <c r="A25" s="71" t="s">
        <v>175</v>
      </c>
      <c r="B25" s="93">
        <v>0</v>
      </c>
      <c r="C25" s="117">
        <f>398381.8</f>
        <v>398381.8</v>
      </c>
      <c r="D25" s="118">
        <v>50000</v>
      </c>
      <c r="E25" s="119">
        <f>(C25+D25)*$B$9*B25</f>
        <v>0</v>
      </c>
      <c r="F25" s="2">
        <v>-0.15</v>
      </c>
      <c r="G25" s="119">
        <f>E25-(E25*F25)</f>
        <v>0</v>
      </c>
    </row>
    <row r="26" spans="1:16" ht="20" customHeight="1">
      <c r="A26" s="71" t="s">
        <v>176</v>
      </c>
      <c r="B26" s="93">
        <v>0</v>
      </c>
      <c r="C26" s="117">
        <f>358543.62</f>
        <v>358543.62</v>
      </c>
      <c r="D26" s="118"/>
      <c r="E26" s="119">
        <f>(C26+D26)*$B$9*B26</f>
        <v>0</v>
      </c>
      <c r="F26" s="2">
        <v>-0.15</v>
      </c>
      <c r="G26" s="119">
        <f>E26-(E26*F26)</f>
        <v>0</v>
      </c>
    </row>
    <row r="27" spans="1:16" ht="20" customHeight="1" thickBot="1">
      <c r="A27" s="71" t="s">
        <v>177</v>
      </c>
      <c r="B27" s="93">
        <v>0</v>
      </c>
      <c r="C27" s="117">
        <f>358543.62</f>
        <v>358543.62</v>
      </c>
      <c r="D27" s="118">
        <v>50000</v>
      </c>
      <c r="E27" s="119">
        <f>(C27+D27)*$B$9*B27</f>
        <v>0</v>
      </c>
      <c r="F27" s="2">
        <v>-0.15</v>
      </c>
      <c r="G27" s="119">
        <f>E27-(E27*F27)</f>
        <v>0</v>
      </c>
    </row>
    <row r="28" spans="1:16" ht="29" customHeight="1" thickBot="1">
      <c r="A28" s="672" t="s">
        <v>156</v>
      </c>
      <c r="B28" s="673"/>
      <c r="C28" s="673"/>
      <c r="D28" s="673"/>
      <c r="E28" s="72"/>
      <c r="F28" s="73"/>
      <c r="G28" s="120">
        <f>SUM(G24:G27)</f>
        <v>0</v>
      </c>
    </row>
    <row r="29" spans="1:16" s="8" customFormat="1" ht="11" customHeight="1" thickBot="1">
      <c r="A29" s="16"/>
      <c r="B29" s="56"/>
      <c r="C29" s="6"/>
      <c r="D29" s="7"/>
      <c r="E29" s="7"/>
      <c r="F29" s="7"/>
      <c r="G29" s="17"/>
      <c r="H29" s="7"/>
      <c r="I29" s="7"/>
      <c r="J29" s="7"/>
      <c r="K29" s="7"/>
      <c r="L29" s="7"/>
      <c r="M29" s="7"/>
      <c r="N29" s="7"/>
      <c r="O29" s="7"/>
      <c r="P29" s="7"/>
    </row>
    <row r="30" spans="1:16" s="10" customFormat="1" ht="40" customHeight="1" thickBot="1">
      <c r="A30" s="18" t="s">
        <v>51</v>
      </c>
      <c r="B30" s="159" t="s">
        <v>52</v>
      </c>
      <c r="C30" s="160" t="s">
        <v>53</v>
      </c>
      <c r="D30" s="153" t="s">
        <v>54</v>
      </c>
      <c r="E30" s="149" t="s">
        <v>157</v>
      </c>
      <c r="F30" s="103" t="s">
        <v>158</v>
      </c>
      <c r="G30" s="147" t="s">
        <v>159</v>
      </c>
    </row>
    <row r="31" spans="1:16" ht="20" customHeight="1" thickBot="1">
      <c r="A31" s="154" t="str">
        <f>'BASE PAX'!A6</f>
        <v>BREAKFAST</v>
      </c>
      <c r="B31" s="284">
        <f>(B5*B9*'BASE PAX'!G6)+('BASE PAX'!H6*B6*B9)</f>
        <v>0</v>
      </c>
      <c r="C31" s="121"/>
      <c r="D31" s="144"/>
      <c r="E31" s="283"/>
      <c r="F31" s="122">
        <f t="shared" ref="F31:F46" si="3">B31*C31</f>
        <v>0</v>
      </c>
      <c r="G31" s="325">
        <f>0.2*B31</f>
        <v>0</v>
      </c>
      <c r="H31" s="354" t="str">
        <f>'BASE PAX'!A6</f>
        <v>BREAKFAST</v>
      </c>
      <c r="I31" s="355">
        <f>B31</f>
        <v>0</v>
      </c>
    </row>
    <row r="32" spans="1:16" ht="20" customHeight="1">
      <c r="A32" s="155" t="str">
        <f>'BASE PAX'!A7</f>
        <v>LUNCH 1</v>
      </c>
      <c r="B32" s="89">
        <f>($B$5+($B$6*0.5))*'BASE PAX'!B7</f>
        <v>0</v>
      </c>
      <c r="C32" s="123">
        <f>'BASE PAX'!C7</f>
        <v>40000</v>
      </c>
      <c r="D32" s="125">
        <f>'BASE PAX'!D7</f>
        <v>48000</v>
      </c>
      <c r="E32" s="151">
        <f t="shared" ref="E32:E46" si="4">D32*B32</f>
        <v>0</v>
      </c>
      <c r="F32" s="124">
        <f t="shared" si="3"/>
        <v>0</v>
      </c>
      <c r="G32" s="146">
        <f t="shared" ref="G32:G46" si="5">E32-F32</f>
        <v>0</v>
      </c>
      <c r="H32" s="294"/>
      <c r="I32" s="295"/>
    </row>
    <row r="33" spans="1:11" ht="20" customHeight="1">
      <c r="A33" s="155" t="str">
        <f>'BASE PAX'!A8</f>
        <v>LUNCH 2</v>
      </c>
      <c r="B33" s="89">
        <f>($B$5+($B$6*0.5))*'BASE PAX'!B8</f>
        <v>0</v>
      </c>
      <c r="C33" s="123">
        <f>'BASE PAX'!C8</f>
        <v>40000</v>
      </c>
      <c r="D33" s="125">
        <f>'BASE PAX'!D8</f>
        <v>48000</v>
      </c>
      <c r="E33" s="151">
        <f t="shared" si="4"/>
        <v>0</v>
      </c>
      <c r="F33" s="124">
        <f t="shared" si="3"/>
        <v>0</v>
      </c>
      <c r="G33" s="146">
        <f t="shared" si="5"/>
        <v>0</v>
      </c>
      <c r="H33" s="294"/>
      <c r="I33" s="295"/>
    </row>
    <row r="34" spans="1:11" ht="20" customHeight="1">
      <c r="A34" s="155" t="str">
        <f>'BASE PAX'!A9</f>
        <v>LUNCH 3</v>
      </c>
      <c r="B34" s="89">
        <f>($B$5+($B$6*0.5))*'BASE PAX'!B9</f>
        <v>0</v>
      </c>
      <c r="C34" s="123">
        <f>'BASE PAX'!C9</f>
        <v>40000</v>
      </c>
      <c r="D34" s="125">
        <f>'BASE PAX'!D9</f>
        <v>48000</v>
      </c>
      <c r="E34" s="151">
        <f t="shared" si="4"/>
        <v>0</v>
      </c>
      <c r="F34" s="124">
        <f t="shared" si="3"/>
        <v>0</v>
      </c>
      <c r="G34" s="146">
        <f t="shared" si="5"/>
        <v>0</v>
      </c>
      <c r="H34" s="294"/>
      <c r="I34" s="295"/>
    </row>
    <row r="35" spans="1:11" ht="20" customHeight="1">
      <c r="A35" s="155" t="str">
        <f>'BASE PAX'!A10</f>
        <v>LUNCH 4</v>
      </c>
      <c r="B35" s="89">
        <f>($B$5+($B$6*0.5))*'BASE PAX'!B10</f>
        <v>0</v>
      </c>
      <c r="C35" s="123">
        <f>'BASE PAX'!C10</f>
        <v>45000</v>
      </c>
      <c r="D35" s="125">
        <f>'BASE PAX'!D10</f>
        <v>54000</v>
      </c>
      <c r="E35" s="151">
        <f t="shared" si="4"/>
        <v>0</v>
      </c>
      <c r="F35" s="124">
        <f t="shared" si="3"/>
        <v>0</v>
      </c>
      <c r="G35" s="146">
        <f t="shared" si="5"/>
        <v>0</v>
      </c>
      <c r="H35" s="294"/>
      <c r="I35" s="295"/>
    </row>
    <row r="36" spans="1:11" ht="20" customHeight="1">
      <c r="A36" s="155" t="str">
        <f>'BASE PAX'!A11</f>
        <v>LUNCH 5</v>
      </c>
      <c r="B36" s="89">
        <f>($B$5+($B$6*0.6))*'BASE PAX'!B11</f>
        <v>0</v>
      </c>
      <c r="C36" s="123">
        <f>'BASE PAX'!C11</f>
        <v>50000</v>
      </c>
      <c r="D36" s="125">
        <f>'BASE PAX'!D11</f>
        <v>60000</v>
      </c>
      <c r="E36" s="151">
        <f t="shared" si="4"/>
        <v>0</v>
      </c>
      <c r="F36" s="124">
        <f t="shared" si="3"/>
        <v>0</v>
      </c>
      <c r="G36" s="146">
        <f t="shared" si="5"/>
        <v>0</v>
      </c>
      <c r="H36" s="294"/>
      <c r="I36" s="295"/>
    </row>
    <row r="37" spans="1:11" ht="20" customHeight="1">
      <c r="A37" s="155" t="str">
        <f>'BASE PAX'!A12</f>
        <v>LUNCH 6</v>
      </c>
      <c r="B37" s="89">
        <f>($B$5+($B$6*0.5))*'BASE PAX'!B12</f>
        <v>0</v>
      </c>
      <c r="C37" s="123">
        <f>'BASE PAX'!C12</f>
        <v>0</v>
      </c>
      <c r="D37" s="125">
        <f>'BASE PAX'!D12</f>
        <v>0</v>
      </c>
      <c r="E37" s="151">
        <f t="shared" si="4"/>
        <v>0</v>
      </c>
      <c r="F37" s="124">
        <f t="shared" si="3"/>
        <v>0</v>
      </c>
      <c r="G37" s="146">
        <f t="shared" si="5"/>
        <v>0</v>
      </c>
      <c r="H37" s="294"/>
      <c r="I37" s="295"/>
    </row>
    <row r="38" spans="1:11" ht="20" customHeight="1">
      <c r="A38" s="155" t="str">
        <f>'BASE PAX'!A13</f>
        <v>LUNCH 7</v>
      </c>
      <c r="B38" s="89">
        <f>($B$5+($B$6*0.5))*'BASE PAX'!B13</f>
        <v>0</v>
      </c>
      <c r="C38" s="123">
        <f>'BASE PAX'!C13</f>
        <v>5000</v>
      </c>
      <c r="D38" s="125">
        <f>'BASE PAX'!D13</f>
        <v>6000</v>
      </c>
      <c r="E38" s="151">
        <f t="shared" si="4"/>
        <v>0</v>
      </c>
      <c r="F38" s="124">
        <f t="shared" si="3"/>
        <v>0</v>
      </c>
      <c r="G38" s="146">
        <f t="shared" si="5"/>
        <v>0</v>
      </c>
      <c r="H38" s="294"/>
      <c r="I38" s="295"/>
    </row>
    <row r="39" spans="1:11" ht="20" customHeight="1">
      <c r="A39" s="156" t="str">
        <f>'BASE PAX'!A14</f>
        <v>SNACKS</v>
      </c>
      <c r="B39" s="90">
        <f>($B$5+$B$6)*'BASE PAX'!B14</f>
        <v>0</v>
      </c>
      <c r="C39" s="125">
        <f>'BASE PAX'!C14</f>
        <v>8000</v>
      </c>
      <c r="D39" s="145">
        <f>'BASE PAX'!D14</f>
        <v>9600</v>
      </c>
      <c r="E39" s="150">
        <f t="shared" si="4"/>
        <v>0</v>
      </c>
      <c r="F39" s="122">
        <f t="shared" si="3"/>
        <v>0</v>
      </c>
      <c r="G39" s="146">
        <f t="shared" si="5"/>
        <v>0</v>
      </c>
      <c r="H39" s="294"/>
      <c r="I39" s="295"/>
    </row>
    <row r="40" spans="1:11" ht="20" customHeight="1">
      <c r="A40" s="155" t="str">
        <f>'BASE PAX'!A15</f>
        <v>DINNER 1</v>
      </c>
      <c r="B40" s="89">
        <f>($B$5+($B$6*0.6))*'BASE PAX'!B15</f>
        <v>0</v>
      </c>
      <c r="C40" s="123">
        <f>'BASE PAX'!C15</f>
        <v>70000</v>
      </c>
      <c r="D40" s="125">
        <f>'BASE PAX'!D15</f>
        <v>84000</v>
      </c>
      <c r="E40" s="151">
        <f t="shared" si="4"/>
        <v>0</v>
      </c>
      <c r="F40" s="124">
        <f t="shared" si="3"/>
        <v>0</v>
      </c>
      <c r="G40" s="146">
        <f t="shared" si="5"/>
        <v>0</v>
      </c>
      <c r="H40" s="294"/>
      <c r="I40" s="295"/>
    </row>
    <row r="41" spans="1:11" ht="20" customHeight="1">
      <c r="A41" s="155" t="str">
        <f>'BASE PAX'!A16</f>
        <v>DINNER 2</v>
      </c>
      <c r="B41" s="89">
        <f>($B$5+($B$6*0.6))*'BASE PAX'!B16</f>
        <v>0</v>
      </c>
      <c r="C41" s="123">
        <f>'BASE PAX'!C16</f>
        <v>25000</v>
      </c>
      <c r="D41" s="125">
        <f>'BASE PAX'!D16</f>
        <v>30000</v>
      </c>
      <c r="E41" s="151">
        <f t="shared" si="4"/>
        <v>0</v>
      </c>
      <c r="F41" s="124">
        <f t="shared" si="3"/>
        <v>0</v>
      </c>
      <c r="G41" s="146">
        <f t="shared" si="5"/>
        <v>0</v>
      </c>
      <c r="H41" s="294"/>
      <c r="I41" s="295"/>
    </row>
    <row r="42" spans="1:11" ht="20" customHeight="1">
      <c r="A42" s="155" t="str">
        <f>'BASE PAX'!A17</f>
        <v>DINNER 3</v>
      </c>
      <c r="B42" s="89">
        <f>($B$5+($B$6*0.6))*'BASE PAX'!B17</f>
        <v>0</v>
      </c>
      <c r="C42" s="123">
        <f>'BASE PAX'!C17</f>
        <v>50000</v>
      </c>
      <c r="D42" s="125">
        <f>'BASE PAX'!D17</f>
        <v>60000</v>
      </c>
      <c r="E42" s="151">
        <f t="shared" si="4"/>
        <v>0</v>
      </c>
      <c r="F42" s="124">
        <f t="shared" si="3"/>
        <v>0</v>
      </c>
      <c r="G42" s="146">
        <f t="shared" si="5"/>
        <v>0</v>
      </c>
      <c r="H42" s="294"/>
      <c r="I42" s="295"/>
    </row>
    <row r="43" spans="1:11" ht="20" customHeight="1">
      <c r="A43" s="155" t="str">
        <f>'BASE PAX'!A18</f>
        <v>DINNER 4</v>
      </c>
      <c r="B43" s="89">
        <f>($B$5+($B$6*0.5))*'BASE PAX'!B18</f>
        <v>0</v>
      </c>
      <c r="C43" s="123">
        <f>'BASE PAX'!C18</f>
        <v>65000</v>
      </c>
      <c r="D43" s="125">
        <f>'BASE PAX'!D18</f>
        <v>78000</v>
      </c>
      <c r="E43" s="151">
        <f t="shared" si="4"/>
        <v>0</v>
      </c>
      <c r="F43" s="124">
        <f t="shared" si="3"/>
        <v>0</v>
      </c>
      <c r="G43" s="146">
        <f t="shared" si="5"/>
        <v>0</v>
      </c>
      <c r="H43" s="294"/>
      <c r="I43" s="295"/>
    </row>
    <row r="44" spans="1:11" ht="20" customHeight="1">
      <c r="A44" s="155" t="str">
        <f>'BASE PAX'!A19</f>
        <v>DINNER 5</v>
      </c>
      <c r="B44" s="89">
        <f>($B$5+($B$6*0.6))*'BASE PAX'!B19</f>
        <v>0</v>
      </c>
      <c r="C44" s="123">
        <f>'BASE PAX'!C19</f>
        <v>75000</v>
      </c>
      <c r="D44" s="125">
        <f>'BASE PAX'!D19</f>
        <v>90000</v>
      </c>
      <c r="E44" s="151">
        <f t="shared" si="4"/>
        <v>0</v>
      </c>
      <c r="F44" s="124">
        <f t="shared" si="3"/>
        <v>0</v>
      </c>
      <c r="G44" s="146">
        <f t="shared" si="5"/>
        <v>0</v>
      </c>
      <c r="H44" s="294"/>
      <c r="I44" s="295"/>
    </row>
    <row r="45" spans="1:11" ht="20" customHeight="1">
      <c r="A45" s="155" t="str">
        <f>'BASE PAX'!A20</f>
        <v>DINNER 6</v>
      </c>
      <c r="B45" s="89">
        <f>($B$5+($B$6*0.5))*'BASE PAX'!B20</f>
        <v>0</v>
      </c>
      <c r="C45" s="123">
        <f>'BASE PAX'!C20</f>
        <v>0</v>
      </c>
      <c r="D45" s="125">
        <f>'BASE PAX'!D20</f>
        <v>0</v>
      </c>
      <c r="E45" s="151">
        <f t="shared" si="4"/>
        <v>0</v>
      </c>
      <c r="F45" s="124">
        <f t="shared" si="3"/>
        <v>0</v>
      </c>
      <c r="G45" s="146">
        <f t="shared" si="5"/>
        <v>0</v>
      </c>
      <c r="H45" s="294"/>
      <c r="I45" s="295"/>
    </row>
    <row r="46" spans="1:11" ht="20" customHeight="1" thickBot="1">
      <c r="A46" s="155" t="str">
        <f>'BASE PAX'!A21</f>
        <v>DINNER 7</v>
      </c>
      <c r="B46" s="89">
        <f>($B$5+($B$6*0.6))*'BASE PAX'!B21</f>
        <v>0</v>
      </c>
      <c r="C46" s="123">
        <f>'BASE PAX'!C21</f>
        <v>75000</v>
      </c>
      <c r="D46" s="125">
        <f>'BASE PAX'!D21</f>
        <v>90000</v>
      </c>
      <c r="E46" s="151">
        <f t="shared" si="4"/>
        <v>0</v>
      </c>
      <c r="F46" s="124">
        <f t="shared" si="3"/>
        <v>0</v>
      </c>
      <c r="G46" s="146">
        <f t="shared" si="5"/>
        <v>0</v>
      </c>
      <c r="H46" s="294"/>
      <c r="I46" s="295"/>
    </row>
    <row r="47" spans="1:11" ht="20" customHeight="1">
      <c r="A47" s="155" t="str">
        <f>'BASE PAX'!A22</f>
        <v>QUANT. TOTAL | PADRAO ALMOÇO</v>
      </c>
      <c r="B47" s="89">
        <f>'BASE PAX'!B22</f>
        <v>0</v>
      </c>
      <c r="C47" s="123"/>
      <c r="D47" s="125"/>
      <c r="E47" s="151"/>
      <c r="F47" s="124"/>
      <c r="G47" s="325">
        <f>0.2*I47</f>
        <v>0</v>
      </c>
      <c r="H47" s="338" t="str">
        <f>'BASE PAX'!A22</f>
        <v>QUANT. TOTAL | PADRAO ALMOÇO</v>
      </c>
      <c r="I47" s="350">
        <f>(B5*B47*'BASE PAX'!G22)+(B6*B47*'BASE PAX'!H22)</f>
        <v>0</v>
      </c>
      <c r="J47" s="328"/>
      <c r="K47" s="329"/>
    </row>
    <row r="48" spans="1:11" ht="20" customHeight="1" thickBot="1">
      <c r="A48" s="163" t="str">
        <f>'BASE PAX'!A23</f>
        <v>QUANT. TOTAL | PADRAO JANTAR</v>
      </c>
      <c r="B48" s="170">
        <f>'BASE PAX'!B23</f>
        <v>0</v>
      </c>
      <c r="C48" s="165"/>
      <c r="D48" s="166"/>
      <c r="E48" s="167"/>
      <c r="F48" s="168"/>
      <c r="G48" s="326">
        <f>0.2*I48</f>
        <v>0</v>
      </c>
      <c r="H48" s="347" t="str">
        <f>'BASE PAX'!A23</f>
        <v>QUANT. TOTAL | PADRAO JANTAR</v>
      </c>
      <c r="I48" s="336">
        <f>(B5*B48*'BASE PAX'!G23)+(B6*B48*'BASE PAX'!H23)</f>
        <v>0</v>
      </c>
      <c r="J48" s="330"/>
      <c r="K48" s="331"/>
    </row>
    <row r="49" spans="1:16" ht="29" customHeight="1" thickBot="1">
      <c r="A49" s="161" t="s">
        <v>72</v>
      </c>
      <c r="B49" s="157"/>
      <c r="C49" s="158"/>
      <c r="D49" s="152"/>
      <c r="E49" s="300">
        <f>SUM(E31:E48)</f>
        <v>0</v>
      </c>
      <c r="F49" s="104">
        <f>SUM(F31:F48)</f>
        <v>0</v>
      </c>
      <c r="G49" s="327">
        <f>SUM(G31:G48)</f>
        <v>0</v>
      </c>
      <c r="H49" s="341" t="s">
        <v>55</v>
      </c>
      <c r="I49" s="343">
        <f>I31+I47+I48</f>
        <v>0</v>
      </c>
      <c r="J49" s="360">
        <f>I49+E49</f>
        <v>0</v>
      </c>
      <c r="K49" s="344" t="s">
        <v>160</v>
      </c>
    </row>
    <row r="50" spans="1:16" s="8" customFormat="1" ht="11" customHeight="1" thickBot="1">
      <c r="A50" s="16"/>
      <c r="B50" s="56"/>
      <c r="C50" s="105"/>
      <c r="D50" s="102"/>
      <c r="E50" s="102"/>
      <c r="F50" s="7"/>
      <c r="G50" s="17"/>
      <c r="H50" s="7"/>
      <c r="I50" s="295"/>
      <c r="J50" s="7"/>
      <c r="K50" s="7"/>
      <c r="L50" s="7"/>
      <c r="M50" s="7"/>
      <c r="N50" s="7"/>
      <c r="O50" s="7"/>
      <c r="P50" s="7"/>
    </row>
    <row r="51" spans="1:16" ht="34" customHeight="1" thickBot="1">
      <c r="A51" s="21" t="s">
        <v>161</v>
      </c>
      <c r="B51" s="207" t="s">
        <v>52</v>
      </c>
      <c r="C51" s="208" t="s">
        <v>53</v>
      </c>
      <c r="D51" s="209" t="s">
        <v>54</v>
      </c>
      <c r="E51" s="172" t="s">
        <v>55</v>
      </c>
      <c r="F51" s="142" t="s">
        <v>158</v>
      </c>
      <c r="G51" s="182" t="s">
        <v>159</v>
      </c>
    </row>
    <row r="52" spans="1:16" ht="20" customHeight="1">
      <c r="A52" s="76" t="str">
        <f>'BASE PAX'!A27</f>
        <v>SUCOS</v>
      </c>
      <c r="B52" s="205">
        <f>'BASE PAX'!B27</f>
        <v>0</v>
      </c>
      <c r="C52" s="193">
        <f>'BASE PAX'!C27</f>
        <v>0</v>
      </c>
      <c r="D52" s="206">
        <f t="shared" ref="D52:D58" si="6">(C52*0.2)+C52</f>
        <v>0</v>
      </c>
      <c r="E52" s="174">
        <f t="shared" ref="E52:E58" si="7">D52*B52</f>
        <v>0</v>
      </c>
      <c r="F52" s="173">
        <f t="shared" ref="F52:F58" si="8">B52*C52</f>
        <v>0</v>
      </c>
      <c r="G52" s="183">
        <f t="shared" ref="G52:G59" si="9">E52-F52</f>
        <v>0</v>
      </c>
    </row>
    <row r="53" spans="1:16" ht="20" customHeight="1">
      <c r="A53" s="76" t="str">
        <f>'BASE PAX'!A28</f>
        <v>SUCOS</v>
      </c>
      <c r="B53" s="205">
        <f>'BASE PAX'!B28</f>
        <v>0</v>
      </c>
      <c r="C53" s="175">
        <f>'BASE PAX'!C28</f>
        <v>0</v>
      </c>
      <c r="D53" s="176">
        <f t="shared" si="6"/>
        <v>0</v>
      </c>
      <c r="E53" s="174">
        <f t="shared" si="7"/>
        <v>0</v>
      </c>
      <c r="F53" s="173">
        <f t="shared" si="8"/>
        <v>0</v>
      </c>
      <c r="G53" s="183">
        <f t="shared" si="9"/>
        <v>0</v>
      </c>
    </row>
    <row r="54" spans="1:16" ht="20" customHeight="1">
      <c r="A54" s="87" t="str">
        <f>'BASE PAX'!A29</f>
        <v>CERVEJAS</v>
      </c>
      <c r="B54" s="205">
        <f>'BASE PAX'!B29</f>
        <v>0</v>
      </c>
      <c r="C54" s="175">
        <f>'BASE PAX'!C29</f>
        <v>2000</v>
      </c>
      <c r="D54" s="176">
        <f t="shared" si="6"/>
        <v>2400</v>
      </c>
      <c r="E54" s="174">
        <f t="shared" si="7"/>
        <v>0</v>
      </c>
      <c r="F54" s="173">
        <f t="shared" si="8"/>
        <v>0</v>
      </c>
      <c r="G54" s="183">
        <f t="shared" si="9"/>
        <v>0</v>
      </c>
    </row>
    <row r="55" spans="1:16" ht="20" customHeight="1">
      <c r="A55" s="87" t="str">
        <f>'BASE PAX'!A30</f>
        <v>VINHOS</v>
      </c>
      <c r="B55" s="205">
        <f>'BASE PAX'!B30</f>
        <v>0</v>
      </c>
      <c r="C55" s="175">
        <f>'BASE PAX'!C30</f>
        <v>8000</v>
      </c>
      <c r="D55" s="176">
        <f t="shared" si="6"/>
        <v>9600</v>
      </c>
      <c r="E55" s="174">
        <f t="shared" si="7"/>
        <v>0</v>
      </c>
      <c r="F55" s="173">
        <f t="shared" si="8"/>
        <v>0</v>
      </c>
      <c r="G55" s="183">
        <f t="shared" si="9"/>
        <v>0</v>
      </c>
    </row>
    <row r="56" spans="1:16" ht="20" customHeight="1">
      <c r="A56" s="87" t="str">
        <f>'BASE PAX'!A31</f>
        <v>DRINKS</v>
      </c>
      <c r="B56" s="205">
        <f>'BASE PAX'!B31</f>
        <v>0</v>
      </c>
      <c r="C56" s="175">
        <f>'BASE PAX'!C31</f>
        <v>15000</v>
      </c>
      <c r="D56" s="176">
        <f t="shared" si="6"/>
        <v>18000</v>
      </c>
      <c r="E56" s="174">
        <f t="shared" si="7"/>
        <v>0</v>
      </c>
      <c r="F56" s="173">
        <f t="shared" si="8"/>
        <v>0</v>
      </c>
      <c r="G56" s="183">
        <f t="shared" si="9"/>
        <v>0</v>
      </c>
    </row>
    <row r="57" spans="1:16" ht="20" customHeight="1">
      <c r="A57" s="87" t="str">
        <f>'BASE PAX'!A32</f>
        <v>COOLER</v>
      </c>
      <c r="B57" s="205">
        <f>'BASE PAX'!B32</f>
        <v>0</v>
      </c>
      <c r="C57" s="175">
        <f>'BASE PAX'!C32</f>
        <v>5000</v>
      </c>
      <c r="D57" s="176">
        <f t="shared" si="6"/>
        <v>6000</v>
      </c>
      <c r="E57" s="174">
        <f t="shared" si="7"/>
        <v>0</v>
      </c>
      <c r="F57" s="173">
        <f t="shared" si="8"/>
        <v>0</v>
      </c>
      <c r="G57" s="183">
        <f t="shared" si="9"/>
        <v>0</v>
      </c>
    </row>
    <row r="58" spans="1:16" ht="20" customHeight="1" thickBot="1">
      <c r="A58" s="180">
        <f>'BASE PAX'!A33</f>
        <v>0</v>
      </c>
      <c r="B58" s="205">
        <f>'BASE PAX'!B33</f>
        <v>0</v>
      </c>
      <c r="C58" s="178">
        <f>'BASE PAX'!C33</f>
        <v>0</v>
      </c>
      <c r="D58" s="179">
        <f t="shared" si="6"/>
        <v>0</v>
      </c>
      <c r="E58" s="184">
        <f t="shared" si="7"/>
        <v>0</v>
      </c>
      <c r="F58" s="185">
        <f t="shared" si="8"/>
        <v>0</v>
      </c>
      <c r="G58" s="186">
        <f t="shared" si="9"/>
        <v>0</v>
      </c>
    </row>
    <row r="59" spans="1:16" ht="48" customHeight="1" thickBot="1">
      <c r="A59" s="21" t="s">
        <v>79</v>
      </c>
      <c r="B59" s="77"/>
      <c r="C59" s="126"/>
      <c r="D59" s="181"/>
      <c r="E59" s="127">
        <f>SUM(E52:E58)</f>
        <v>0</v>
      </c>
      <c r="F59" s="188">
        <f>SUM(F52:F58)</f>
        <v>0</v>
      </c>
      <c r="G59" s="189">
        <f t="shared" si="9"/>
        <v>0</v>
      </c>
    </row>
    <row r="60" spans="1:16" s="8" customFormat="1" ht="11" customHeight="1" thickBot="1">
      <c r="A60" s="16"/>
      <c r="B60" s="56"/>
      <c r="C60" s="105"/>
      <c r="D60" s="102"/>
      <c r="E60" s="102"/>
      <c r="F60" s="7"/>
      <c r="G60" s="17"/>
      <c r="H60" s="7"/>
      <c r="I60" s="7"/>
      <c r="J60" s="7"/>
      <c r="K60" s="7"/>
      <c r="L60" s="7"/>
      <c r="M60" s="7"/>
      <c r="N60" s="7"/>
      <c r="O60" s="7"/>
      <c r="P60" s="7"/>
    </row>
    <row r="61" spans="1:16" s="10" customFormat="1" ht="42" customHeight="1" thickBot="1">
      <c r="A61" s="226" t="s">
        <v>18</v>
      </c>
      <c r="B61" s="227" t="s">
        <v>52</v>
      </c>
      <c r="C61" s="228" t="s">
        <v>53</v>
      </c>
      <c r="D61" s="229" t="s">
        <v>54</v>
      </c>
      <c r="E61" s="229" t="s">
        <v>55</v>
      </c>
      <c r="F61" s="228" t="s">
        <v>158</v>
      </c>
      <c r="G61" s="230" t="s">
        <v>159</v>
      </c>
    </row>
    <row r="62" spans="1:16" ht="20" customHeight="1">
      <c r="A62" s="223" t="str">
        <f>'BASE PAX'!A37</f>
        <v>HOTTUBE</v>
      </c>
      <c r="B62" s="224">
        <f>'BASE PAX'!B37</f>
        <v>0</v>
      </c>
      <c r="C62" s="195">
        <f>'BASE PAX'!C37</f>
        <v>12000</v>
      </c>
      <c r="D62" s="225">
        <f t="shared" ref="D62:D71" si="10">C62*0.2+C62</f>
        <v>14400</v>
      </c>
      <c r="E62" s="225">
        <f t="shared" ref="E62:E71" si="11">D62*B62</f>
        <v>0</v>
      </c>
      <c r="F62" s="195">
        <f t="shared" ref="F62:F72" si="12">B62*C62</f>
        <v>0</v>
      </c>
      <c r="G62" s="194">
        <f t="shared" ref="G62:G72" si="13">E62-F62</f>
        <v>0</v>
      </c>
    </row>
    <row r="63" spans="1:16" ht="20" customHeight="1">
      <c r="A63" s="219" t="str">
        <f>'BASE PAX'!A38</f>
        <v>TREKKING 1/2 DAY</v>
      </c>
      <c r="B63" s="224">
        <f>'BASE PAX'!B38</f>
        <v>0</v>
      </c>
      <c r="C63" s="196">
        <f>'BASE PAX'!C38</f>
        <v>60000</v>
      </c>
      <c r="D63" s="220">
        <f t="shared" si="10"/>
        <v>72000</v>
      </c>
      <c r="E63" s="220">
        <f t="shared" si="11"/>
        <v>0</v>
      </c>
      <c r="F63" s="196">
        <f t="shared" si="12"/>
        <v>0</v>
      </c>
      <c r="G63" s="190">
        <f t="shared" si="13"/>
        <v>0</v>
      </c>
    </row>
    <row r="64" spans="1:16" ht="20" customHeight="1">
      <c r="A64" s="219" t="str">
        <f>'BASE PAX'!A39</f>
        <v>TREKKING FUK DAY</v>
      </c>
      <c r="B64" s="224">
        <f>'BASE PAX'!B39</f>
        <v>0</v>
      </c>
      <c r="C64" s="196">
        <f>'BASE PAX'!C39</f>
        <v>90000</v>
      </c>
      <c r="D64" s="220">
        <f t="shared" si="10"/>
        <v>108000</v>
      </c>
      <c r="E64" s="220">
        <f t="shared" si="11"/>
        <v>0</v>
      </c>
      <c r="F64" s="196">
        <f t="shared" si="12"/>
        <v>0</v>
      </c>
      <c r="G64" s="190">
        <f t="shared" si="13"/>
        <v>0</v>
      </c>
    </row>
    <row r="65" spans="1:16" ht="20" customHeight="1">
      <c r="A65" s="219" t="str">
        <f>'BASE PAX'!A40</f>
        <v>FLOTADA FAMILIAR</v>
      </c>
      <c r="B65" s="224">
        <f>'BASE PAX'!B40</f>
        <v>0</v>
      </c>
      <c r="C65" s="196">
        <f>'BASE PAX'!C40</f>
        <v>60000</v>
      </c>
      <c r="D65" s="220">
        <f t="shared" si="10"/>
        <v>72000</v>
      </c>
      <c r="E65" s="220">
        <f t="shared" si="11"/>
        <v>0</v>
      </c>
      <c r="F65" s="196">
        <f t="shared" si="12"/>
        <v>0</v>
      </c>
      <c r="G65" s="190">
        <f t="shared" si="13"/>
        <v>0</v>
      </c>
    </row>
    <row r="66" spans="1:16" ht="20" customHeight="1">
      <c r="A66" s="219" t="str">
        <f>'BASE PAX'!A41</f>
        <v>RAFTING 1/2 DAY</v>
      </c>
      <c r="B66" s="224">
        <f>'BASE PAX'!B41</f>
        <v>0</v>
      </c>
      <c r="C66" s="196">
        <f>'BASE PAX'!C41</f>
        <v>75000</v>
      </c>
      <c r="D66" s="220">
        <f t="shared" si="10"/>
        <v>90000</v>
      </c>
      <c r="E66" s="220">
        <f t="shared" si="11"/>
        <v>0</v>
      </c>
      <c r="F66" s="196">
        <f t="shared" si="12"/>
        <v>0</v>
      </c>
      <c r="G66" s="190">
        <f t="shared" si="13"/>
        <v>0</v>
      </c>
    </row>
    <row r="67" spans="1:16" ht="20" customHeight="1">
      <c r="A67" s="219" t="str">
        <f>'BASE PAX'!A42</f>
        <v>RAFTING FULL DAY</v>
      </c>
      <c r="B67" s="224">
        <f>'BASE PAX'!B42</f>
        <v>0</v>
      </c>
      <c r="C67" s="196">
        <f>'BASE PAX'!C42</f>
        <v>110000</v>
      </c>
      <c r="D67" s="220">
        <f t="shared" si="10"/>
        <v>132000</v>
      </c>
      <c r="E67" s="220">
        <f t="shared" si="11"/>
        <v>0</v>
      </c>
      <c r="F67" s="196">
        <f t="shared" si="12"/>
        <v>0</v>
      </c>
      <c r="G67" s="190">
        <f t="shared" si="13"/>
        <v>0</v>
      </c>
    </row>
    <row r="68" spans="1:16" ht="20" customHeight="1">
      <c r="A68" s="219" t="str">
        <f>'BASE PAX'!A43</f>
        <v>CABALGADA 1/2 DAy</v>
      </c>
      <c r="B68" s="224">
        <f>'BASE PAX'!B43</f>
        <v>0</v>
      </c>
      <c r="C68" s="196">
        <f>'BASE PAX'!C43</f>
        <v>90000</v>
      </c>
      <c r="D68" s="220">
        <f t="shared" si="10"/>
        <v>108000</v>
      </c>
      <c r="E68" s="220">
        <f t="shared" si="11"/>
        <v>0</v>
      </c>
      <c r="F68" s="196">
        <f t="shared" si="12"/>
        <v>0</v>
      </c>
      <c r="G68" s="190">
        <f t="shared" si="13"/>
        <v>0</v>
      </c>
    </row>
    <row r="69" spans="1:16" ht="20" customHeight="1">
      <c r="A69" s="219" t="str">
        <f>'BASE PAX'!A44</f>
        <v>CABALGADA FULL DAY</v>
      </c>
      <c r="B69" s="224">
        <f>'BASE PAX'!B44</f>
        <v>0</v>
      </c>
      <c r="C69" s="196">
        <f>'BASE PAX'!C44</f>
        <v>140000</v>
      </c>
      <c r="D69" s="220">
        <f t="shared" si="10"/>
        <v>168000</v>
      </c>
      <c r="E69" s="220">
        <f t="shared" si="11"/>
        <v>0</v>
      </c>
      <c r="F69" s="196">
        <f t="shared" si="12"/>
        <v>0</v>
      </c>
      <c r="G69" s="190">
        <f t="shared" si="13"/>
        <v>0</v>
      </c>
    </row>
    <row r="70" spans="1:16" ht="20" customHeight="1">
      <c r="A70" s="219" t="str">
        <f>'BASE PAX'!A45</f>
        <v>LANCHA YELCHO</v>
      </c>
      <c r="B70" s="224">
        <f>'BASE PAX'!B45</f>
        <v>0</v>
      </c>
      <c r="C70" s="196">
        <f>'BASE PAX'!C45</f>
        <v>120000</v>
      </c>
      <c r="D70" s="220">
        <f t="shared" si="10"/>
        <v>144000</v>
      </c>
      <c r="E70" s="220">
        <f t="shared" si="11"/>
        <v>0</v>
      </c>
      <c r="F70" s="196">
        <f t="shared" si="12"/>
        <v>0</v>
      </c>
      <c r="G70" s="190">
        <f t="shared" si="13"/>
        <v>0</v>
      </c>
    </row>
    <row r="71" spans="1:16" ht="20" customHeight="1" thickBot="1">
      <c r="A71" s="221" t="str">
        <f>'BASE PAX'!A46</f>
        <v>RECREACAO INFANTIL 3HS</v>
      </c>
      <c r="B71" s="224">
        <f>'BASE PAX'!B46</f>
        <v>0</v>
      </c>
      <c r="C71" s="197">
        <f>'BASE PAX'!C46</f>
        <v>30000</v>
      </c>
      <c r="D71" s="220">
        <f t="shared" si="10"/>
        <v>36000</v>
      </c>
      <c r="E71" s="222">
        <f t="shared" si="11"/>
        <v>0</v>
      </c>
      <c r="F71" s="197">
        <f t="shared" si="12"/>
        <v>0</v>
      </c>
      <c r="G71" s="192">
        <f t="shared" si="13"/>
        <v>0</v>
      </c>
    </row>
    <row r="72" spans="1:16" ht="48" customHeight="1" thickBot="1">
      <c r="A72" s="22" t="s">
        <v>84</v>
      </c>
      <c r="B72" s="79"/>
      <c r="C72" s="128"/>
      <c r="D72" s="128"/>
      <c r="E72" s="198">
        <f>SUM(E62:E71)</f>
        <v>0</v>
      </c>
      <c r="F72" s="204">
        <f t="shared" si="12"/>
        <v>0</v>
      </c>
      <c r="G72" s="203">
        <f t="shared" si="13"/>
        <v>0</v>
      </c>
    </row>
    <row r="73" spans="1:16" ht="37" customHeight="1" thickBot="1"/>
    <row r="74" spans="1:16" s="8" customFormat="1" ht="36" customHeight="1" thickBot="1">
      <c r="A74" s="23" t="s">
        <v>116</v>
      </c>
      <c r="B74" s="214" t="s">
        <v>52</v>
      </c>
      <c r="C74" s="215" t="s">
        <v>53</v>
      </c>
      <c r="D74" s="153" t="s">
        <v>54</v>
      </c>
      <c r="E74" s="153" t="s">
        <v>55</v>
      </c>
      <c r="F74" s="143" t="s">
        <v>162</v>
      </c>
      <c r="G74" s="147" t="s">
        <v>159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 ht="20" customHeight="1">
      <c r="A75" s="88" t="str">
        <f>'BASE PAX'!A50</f>
        <v>TRANSFER AEROPORTO CHEGADA</v>
      </c>
      <c r="B75" s="211">
        <f>'BASE PAX'!B50</f>
        <v>0</v>
      </c>
      <c r="C75" s="213">
        <v>50000</v>
      </c>
      <c r="D75" s="231">
        <f>C75*0.2+C75</f>
        <v>60000</v>
      </c>
      <c r="E75" s="231">
        <f>D75*B75</f>
        <v>0</v>
      </c>
      <c r="F75" s="210">
        <f>B75*C75</f>
        <v>0</v>
      </c>
      <c r="G75" s="199">
        <f t="shared" ref="G75:G80" si="14">E75-F75</f>
        <v>0</v>
      </c>
    </row>
    <row r="76" spans="1:16" ht="20" customHeight="1">
      <c r="A76" s="88" t="str">
        <f>'BASE PAX'!A51</f>
        <v>TRANSFER AEROPORTO PARTIDA</v>
      </c>
      <c r="B76" s="211">
        <f>'BASE PAX'!B51</f>
        <v>0</v>
      </c>
      <c r="C76" s="212">
        <f>'BASE PAX'!C51</f>
        <v>80000</v>
      </c>
      <c r="D76" s="232">
        <f>C76*0.2+C76</f>
        <v>96000</v>
      </c>
      <c r="E76" s="232">
        <f>D76*B76</f>
        <v>0</v>
      </c>
      <c r="F76" s="210">
        <f>B76*C76</f>
        <v>0</v>
      </c>
      <c r="G76" s="200">
        <f t="shared" si="14"/>
        <v>0</v>
      </c>
    </row>
    <row r="77" spans="1:16" ht="20" customHeight="1">
      <c r="A77" s="88" t="str">
        <f>'BASE PAX'!A52</f>
        <v>TRANSFERS INTERNO</v>
      </c>
      <c r="B77" s="211">
        <f>'BASE PAX'!B52</f>
        <v>0</v>
      </c>
      <c r="C77" s="212">
        <f>'BASE PAX'!C52</f>
        <v>18000</v>
      </c>
      <c r="D77" s="232">
        <f>C77*0.2+C77</f>
        <v>21600</v>
      </c>
      <c r="E77" s="232">
        <f>D77*B77</f>
        <v>0</v>
      </c>
      <c r="F77" s="210">
        <f>B77*C77</f>
        <v>0</v>
      </c>
      <c r="G77" s="200">
        <f t="shared" si="14"/>
        <v>0</v>
      </c>
    </row>
    <row r="78" spans="1:16" ht="20" customHeight="1">
      <c r="A78" s="88" t="str">
        <f>'BASE PAX'!A53</f>
        <v>EXTRAS 1</v>
      </c>
      <c r="B78" s="211">
        <f>'BASE PAX'!B53</f>
        <v>0</v>
      </c>
      <c r="C78" s="212">
        <f>'BASE PAX'!C53</f>
        <v>150000</v>
      </c>
      <c r="D78" s="232">
        <f>C78*0.2+C78</f>
        <v>180000</v>
      </c>
      <c r="E78" s="232">
        <f>D78*B78</f>
        <v>0</v>
      </c>
      <c r="F78" s="210">
        <f>B78*C78</f>
        <v>0</v>
      </c>
      <c r="G78" s="200">
        <f t="shared" si="14"/>
        <v>0</v>
      </c>
    </row>
    <row r="79" spans="1:16" ht="20" customHeight="1" thickBot="1">
      <c r="A79" s="218" t="str">
        <f>'BASE PAX'!A54</f>
        <v>EXTRAS 2</v>
      </c>
      <c r="B79" s="211">
        <f>'BASE PAX'!B54</f>
        <v>0</v>
      </c>
      <c r="C79" s="216">
        <f>'BASE PAX'!C54</f>
        <v>0</v>
      </c>
      <c r="D79" s="233">
        <f>C79*0.2+C79</f>
        <v>0</v>
      </c>
      <c r="E79" s="233">
        <f>D79*B79</f>
        <v>0</v>
      </c>
      <c r="F79" s="217">
        <f>B79*C79</f>
        <v>0</v>
      </c>
      <c r="G79" s="201">
        <f t="shared" si="14"/>
        <v>0</v>
      </c>
    </row>
    <row r="80" spans="1:16" ht="44" customHeight="1" thickBot="1">
      <c r="A80" s="23" t="s">
        <v>89</v>
      </c>
      <c r="B80" s="80"/>
      <c r="C80" s="130"/>
      <c r="D80" s="130"/>
      <c r="E80" s="131">
        <f>SUM(E75:E79)</f>
        <v>0</v>
      </c>
      <c r="F80" s="131">
        <f>SUM(F75:F79)</f>
        <v>0</v>
      </c>
      <c r="G80" s="203">
        <f t="shared" si="14"/>
        <v>0</v>
      </c>
    </row>
    <row r="81" spans="1:16" s="8" customFormat="1" ht="11" customHeight="1" thickBot="1">
      <c r="A81" s="16"/>
      <c r="B81" s="56"/>
      <c r="C81" s="105"/>
      <c r="D81" s="102"/>
      <c r="E81" s="102"/>
      <c r="F81" s="7"/>
      <c r="G81" s="17"/>
      <c r="H81" s="7"/>
      <c r="I81" s="7"/>
      <c r="J81" s="7"/>
      <c r="K81" s="7"/>
      <c r="L81" s="7"/>
      <c r="M81" s="7"/>
      <c r="N81" s="7"/>
      <c r="O81" s="7"/>
      <c r="P81" s="7"/>
    </row>
    <row r="82" spans="1:16" s="9" customFormat="1" ht="42" customHeight="1" thickBot="1">
      <c r="A82" s="246" t="s">
        <v>117</v>
      </c>
      <c r="B82" s="247" t="s">
        <v>52</v>
      </c>
      <c r="C82" s="248" t="s">
        <v>53</v>
      </c>
      <c r="D82" s="249" t="s">
        <v>54</v>
      </c>
      <c r="E82" s="249" t="s">
        <v>55</v>
      </c>
      <c r="F82" s="248" t="s">
        <v>162</v>
      </c>
      <c r="G82" s="147" t="s">
        <v>159</v>
      </c>
    </row>
    <row r="83" spans="1:16" ht="20" customHeight="1">
      <c r="A83" s="81" t="str">
        <f>'BASE PAX'!A58</f>
        <v>WS INSTRUCTOR</v>
      </c>
      <c r="B83" s="238">
        <f>'BASE PAX'!B58</f>
        <v>0</v>
      </c>
      <c r="C83" s="239">
        <f>'BASE PAX'!C58</f>
        <v>3415000</v>
      </c>
      <c r="D83" s="240">
        <f>(C83*0.15)+C83</f>
        <v>3927250</v>
      </c>
      <c r="E83" s="240">
        <f>D83*B83</f>
        <v>0</v>
      </c>
      <c r="F83" s="234">
        <f>B83*C83</f>
        <v>0</v>
      </c>
      <c r="G83" s="199">
        <f>E83-F83</f>
        <v>0</v>
      </c>
    </row>
    <row r="84" spans="1:16" ht="20" customHeight="1">
      <c r="A84" s="81" t="str">
        <f>'BASE PAX'!A59</f>
        <v>PRODUCER FEE</v>
      </c>
      <c r="B84" s="235">
        <f>'BASE PAX'!B59</f>
        <v>0</v>
      </c>
      <c r="C84" s="236">
        <f>'BASE PAX'!C59</f>
        <v>180000</v>
      </c>
      <c r="D84" s="237">
        <f>(C84*0.15)+C84</f>
        <v>207000</v>
      </c>
      <c r="E84" s="237">
        <f>D84*B84</f>
        <v>0</v>
      </c>
      <c r="F84" s="234">
        <f>B84*C84</f>
        <v>0</v>
      </c>
      <c r="G84" s="200">
        <f>E84-F84</f>
        <v>0</v>
      </c>
    </row>
    <row r="85" spans="1:16" ht="20" customHeight="1" thickBot="1">
      <c r="A85" s="241">
        <f>'BASE PAX'!A60</f>
        <v>0</v>
      </c>
      <c r="B85" s="242">
        <f>'BASE PAX'!B60</f>
        <v>0</v>
      </c>
      <c r="C85" s="243">
        <f>'BASE PAX'!C60</f>
        <v>20000</v>
      </c>
      <c r="D85" s="244">
        <f>(C85*0.15)+C85</f>
        <v>23000</v>
      </c>
      <c r="E85" s="244">
        <f>D85*B85</f>
        <v>0</v>
      </c>
      <c r="F85" s="245">
        <f>B85*C85</f>
        <v>0</v>
      </c>
      <c r="G85" s="201">
        <f>E85-F85</f>
        <v>0</v>
      </c>
    </row>
    <row r="86" spans="1:16" ht="41" customHeight="1" thickBot="1">
      <c r="A86" s="24" t="s">
        <v>163</v>
      </c>
      <c r="B86" s="82"/>
      <c r="C86" s="132"/>
      <c r="D86" s="132"/>
      <c r="E86" s="133">
        <f>SUM(E83:E85)</f>
        <v>0</v>
      </c>
      <c r="F86" s="133">
        <f>SUM(F81:F85)</f>
        <v>0</v>
      </c>
      <c r="G86" s="203">
        <f>E86-F86</f>
        <v>0</v>
      </c>
    </row>
    <row r="87" spans="1:16" s="8" customFormat="1" ht="11" customHeight="1" thickBot="1">
      <c r="A87" s="16"/>
      <c r="B87" s="56"/>
      <c r="C87" s="105"/>
      <c r="D87" s="102"/>
      <c r="E87" s="102"/>
      <c r="F87" s="7"/>
      <c r="G87" s="17"/>
      <c r="H87" s="7"/>
      <c r="I87" s="7"/>
      <c r="J87" s="7"/>
      <c r="K87" s="7"/>
      <c r="L87" s="7"/>
      <c r="M87" s="7"/>
      <c r="N87" s="7"/>
      <c r="O87" s="7"/>
      <c r="P87" s="7"/>
    </row>
    <row r="88" spans="1:16" ht="38" customHeight="1" thickBot="1">
      <c r="A88" s="258" t="s">
        <v>164</v>
      </c>
      <c r="B88" s="259" t="s">
        <v>92</v>
      </c>
      <c r="C88" s="250" t="s">
        <v>53</v>
      </c>
      <c r="D88" s="260" t="s">
        <v>54</v>
      </c>
      <c r="E88" s="260" t="s">
        <v>55</v>
      </c>
      <c r="F88" s="250"/>
      <c r="G88" s="147" t="s">
        <v>159</v>
      </c>
    </row>
    <row r="89" spans="1:16" ht="20" customHeight="1">
      <c r="A89" s="255" t="str">
        <f>'BASE PAX'!A64</f>
        <v>COORDENAÇÃO PRODUÇÃO</v>
      </c>
      <c r="B89" s="256">
        <f>'BASE PAX'!B64</f>
        <v>0</v>
      </c>
      <c r="C89" s="257">
        <f>'BASE PAX'!C64</f>
        <v>50000</v>
      </c>
      <c r="D89" s="257">
        <f>'BASE PAX'!D64</f>
        <v>0</v>
      </c>
      <c r="E89" s="121">
        <f>D89*B89</f>
        <v>0</v>
      </c>
      <c r="F89" s="257"/>
      <c r="G89" s="199">
        <f t="shared" ref="G89:G94" si="15">E89*0.2</f>
        <v>0</v>
      </c>
    </row>
    <row r="90" spans="1:16" ht="20" customHeight="1">
      <c r="A90" s="251" t="str">
        <f>'BASE PAX'!A65</f>
        <v>EXTRA MÃO DE OBRA</v>
      </c>
      <c r="B90" s="256">
        <f>'BASE PAX'!B65</f>
        <v>0</v>
      </c>
      <c r="C90" s="253">
        <f>'BASE PAX'!C65</f>
        <v>50000</v>
      </c>
      <c r="D90" s="253">
        <f>'BASE PAX'!D65</f>
        <v>0</v>
      </c>
      <c r="E90" s="121">
        <f t="shared" ref="E90:E94" si="16">D90*B90</f>
        <v>0</v>
      </c>
      <c r="F90" s="253"/>
      <c r="G90" s="199">
        <f t="shared" si="15"/>
        <v>0</v>
      </c>
    </row>
    <row r="91" spans="1:16" ht="20" customHeight="1">
      <c r="A91" s="251" t="str">
        <f>'BASE PAX'!A66</f>
        <v>TAXA LIMPEZA CHECK IN / CHECKOUT</v>
      </c>
      <c r="B91" s="252">
        <f>'BASE PAX'!B66</f>
        <v>0</v>
      </c>
      <c r="C91" s="253">
        <f>'BASE PAX'!C66</f>
        <v>40000</v>
      </c>
      <c r="D91" s="253">
        <f>'BASE PAX'!D66</f>
        <v>0</v>
      </c>
      <c r="E91" s="121">
        <f t="shared" si="16"/>
        <v>0</v>
      </c>
      <c r="F91" s="253"/>
      <c r="G91" s="199">
        <f t="shared" si="15"/>
        <v>0</v>
      </c>
    </row>
    <row r="92" spans="1:16" ht="20" customHeight="1">
      <c r="A92" s="251" t="str">
        <f>'BASE PAX'!A67</f>
        <v>TAXA LIMPEZA DIARIA</v>
      </c>
      <c r="B92" s="254">
        <f>'BASE PAX'!B67</f>
        <v>0</v>
      </c>
      <c r="C92" s="253">
        <f>'BASE PAX'!C67</f>
        <v>30000</v>
      </c>
      <c r="D92" s="253">
        <f>'BASE PAX'!D67</f>
        <v>0</v>
      </c>
      <c r="E92" s="121">
        <f t="shared" si="16"/>
        <v>0</v>
      </c>
      <c r="F92" s="253"/>
      <c r="G92" s="199">
        <f t="shared" si="15"/>
        <v>0</v>
      </c>
    </row>
    <row r="93" spans="1:16" ht="20" customHeight="1">
      <c r="A93" s="251" t="str">
        <f>'BASE PAX'!A68</f>
        <v>SOUVENIR</v>
      </c>
      <c r="B93" s="254">
        <f>'BASE PAX'!B68</f>
        <v>0</v>
      </c>
      <c r="C93" s="253">
        <f>'BASE PAX'!C68</f>
        <v>15000</v>
      </c>
      <c r="D93" s="253">
        <f>'BASE PAX'!D68</f>
        <v>0</v>
      </c>
      <c r="E93" s="121">
        <f t="shared" si="16"/>
        <v>0</v>
      </c>
      <c r="F93" s="253"/>
      <c r="G93" s="199">
        <f t="shared" si="15"/>
        <v>0</v>
      </c>
    </row>
    <row r="94" spans="1:16" ht="20" customHeight="1" thickBot="1">
      <c r="A94" s="251" t="str">
        <f>'BASE PAX'!A69</f>
        <v>ASSISTENTE COORDENAÇÃO</v>
      </c>
      <c r="B94" s="256">
        <f>'BASE PAX'!B69</f>
        <v>0</v>
      </c>
      <c r="C94" s="253">
        <f>'BASE PAX'!C69</f>
        <v>30000</v>
      </c>
      <c r="D94" s="253">
        <f>'BASE PAX'!D69</f>
        <v>0</v>
      </c>
      <c r="E94" s="121">
        <f t="shared" si="16"/>
        <v>0</v>
      </c>
      <c r="F94" s="253"/>
      <c r="G94" s="199">
        <f t="shared" si="15"/>
        <v>0</v>
      </c>
    </row>
    <row r="95" spans="1:16" ht="41" customHeight="1" thickBot="1">
      <c r="A95" s="25" t="s">
        <v>101</v>
      </c>
      <c r="B95" s="83"/>
      <c r="C95" s="134"/>
      <c r="D95" s="134"/>
      <c r="E95" s="135">
        <f>SUM(E89:E94)</f>
        <v>0</v>
      </c>
      <c r="F95" s="135"/>
      <c r="G95" s="203">
        <f>SUM(G89:G94)</f>
        <v>0</v>
      </c>
    </row>
    <row r="96" spans="1:16" s="8" customFormat="1" ht="11" customHeight="1" thickBot="1">
      <c r="A96" s="16"/>
      <c r="B96" s="56"/>
      <c r="C96" s="105"/>
      <c r="D96" s="102"/>
      <c r="E96" s="102"/>
      <c r="F96" s="7"/>
      <c r="G96" s="17"/>
      <c r="H96" s="7"/>
      <c r="I96" s="7"/>
      <c r="J96" s="7"/>
      <c r="K96" s="7"/>
      <c r="L96" s="7"/>
      <c r="M96" s="7"/>
      <c r="N96" s="7"/>
      <c r="O96" s="7"/>
      <c r="P96" s="7"/>
    </row>
    <row r="97" spans="1:16" ht="38" customHeight="1" thickBot="1">
      <c r="A97" s="26" t="s">
        <v>165</v>
      </c>
      <c r="B97" s="27" t="s">
        <v>92</v>
      </c>
      <c r="C97" s="136" t="s">
        <v>53</v>
      </c>
      <c r="D97" s="136" t="s">
        <v>54</v>
      </c>
      <c r="E97" s="137" t="s">
        <v>55</v>
      </c>
      <c r="F97" s="20"/>
      <c r="G97" s="20"/>
    </row>
    <row r="98" spans="1:16" ht="23" customHeight="1" thickBot="1">
      <c r="A98" s="84" t="str">
        <f>'BASE PAX'!A73</f>
        <v xml:space="preserve">QUINCHO DAY USE / CABIN </v>
      </c>
      <c r="B98" s="279">
        <f>'BASE PAX'!B73</f>
        <v>0</v>
      </c>
      <c r="C98" s="138">
        <f>'BASE PAX'!C73</f>
        <v>15000</v>
      </c>
      <c r="D98" s="138">
        <f>C98+(C98*0.2)</f>
        <v>18000</v>
      </c>
      <c r="E98" s="139">
        <f>D98*B98</f>
        <v>0</v>
      </c>
      <c r="F98" s="19"/>
      <c r="G98" s="17"/>
    </row>
    <row r="99" spans="1:16" ht="42" customHeight="1" thickBot="1">
      <c r="A99" s="26" t="s">
        <v>104</v>
      </c>
      <c r="B99" s="86"/>
      <c r="C99" s="140"/>
      <c r="D99" s="140"/>
      <c r="E99" s="141">
        <f>E98</f>
        <v>0</v>
      </c>
    </row>
    <row r="100" spans="1:16" s="6" customFormat="1" ht="20" customHeight="1">
      <c r="A100" s="28"/>
      <c r="B100" s="52"/>
      <c r="C100" s="11"/>
      <c r="D100" s="11"/>
      <c r="E100" s="11"/>
      <c r="F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9" customHeight="1"/>
  </sheetData>
  <sheetProtection sheet="1" objects="1" scenarios="1"/>
  <mergeCells count="17">
    <mergeCell ref="A11:A12"/>
    <mergeCell ref="A28:D28"/>
    <mergeCell ref="B5:C5"/>
    <mergeCell ref="F20:F21"/>
    <mergeCell ref="B11:B12"/>
    <mergeCell ref="D11:D12"/>
    <mergeCell ref="B9:C9"/>
    <mergeCell ref="D9:E9"/>
    <mergeCell ref="B8:C8"/>
    <mergeCell ref="D8:E8"/>
    <mergeCell ref="D6:E6"/>
    <mergeCell ref="B6:C6"/>
    <mergeCell ref="I11:K11"/>
    <mergeCell ref="D7:E7"/>
    <mergeCell ref="B7:C7"/>
    <mergeCell ref="F11:G13"/>
    <mergeCell ref="G20:G21"/>
  </mergeCells>
  <pageMargins left="0.7" right="0.7" top="0.75" bottom="0.75" header="0.3" footer="0.3"/>
  <pageSetup paperSize="9"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6"/>
  <dimension ref="A1:P101"/>
  <sheetViews>
    <sheetView topLeftCell="A2" zoomScale="84" zoomScaleNormal="84" workbookViewId="0">
      <selection activeCell="C92" sqref="C92"/>
    </sheetView>
  </sheetViews>
  <sheetFormatPr baseColWidth="10" defaultColWidth="11" defaultRowHeight="17"/>
  <cols>
    <col min="1" max="1" width="48.796875" style="7" customWidth="1"/>
    <col min="2" max="2" width="23.796875" style="52" customWidth="1"/>
    <col min="3" max="3" width="24" style="7" customWidth="1"/>
    <col min="4" max="4" width="22.796875" style="12" customWidth="1"/>
    <col min="5" max="5" width="22.19921875" style="11" customWidth="1"/>
    <col min="6" max="6" width="31" style="7" customWidth="1"/>
    <col min="7" max="7" width="27.796875" style="6" customWidth="1"/>
    <col min="8" max="8" width="32.3984375" style="7" customWidth="1"/>
    <col min="9" max="9" width="23.59765625" style="7" customWidth="1"/>
    <col min="10" max="10" width="25.19921875" style="7" customWidth="1"/>
    <col min="11" max="11" width="28.796875" style="7" customWidth="1"/>
    <col min="12" max="12" width="36.19921875" style="7" customWidth="1"/>
    <col min="13" max="28" width="11" style="7" customWidth="1"/>
    <col min="29" max="16384" width="11" style="7"/>
  </cols>
  <sheetData>
    <row r="1" spans="1:16" ht="22" hidden="1" customHeight="1" thickBot="1"/>
    <row r="2" spans="1:16" ht="7" customHeight="1">
      <c r="D2" s="13"/>
    </row>
    <row r="3" spans="1:16" s="10" customFormat="1" ht="1" customHeight="1">
      <c r="A3" s="14"/>
      <c r="B3" s="53"/>
      <c r="C3" s="15" t="s">
        <v>11</v>
      </c>
      <c r="D3" s="15"/>
      <c r="E3" s="15"/>
      <c r="G3" s="9"/>
    </row>
    <row r="4" spans="1:16" s="10" customFormat="1" ht="19" customHeight="1">
      <c r="A4" s="14"/>
      <c r="B4" s="53"/>
      <c r="C4" s="15"/>
      <c r="D4" s="15"/>
      <c r="E4" s="15"/>
      <c r="G4" s="9"/>
    </row>
    <row r="5" spans="1:16" s="10" customFormat="1" ht="50" customHeight="1">
      <c r="A5" s="54" t="s">
        <v>129</v>
      </c>
      <c r="B5" s="674">
        <v>2</v>
      </c>
      <c r="C5" s="675"/>
      <c r="D5" s="277" t="s">
        <v>14</v>
      </c>
      <c r="E5" s="277"/>
      <c r="F5" s="278"/>
      <c r="G5" s="9"/>
    </row>
    <row r="6" spans="1:16" s="8" customFormat="1" ht="37" customHeight="1">
      <c r="A6" s="54" t="s">
        <v>130</v>
      </c>
      <c r="B6" s="683">
        <v>3</v>
      </c>
      <c r="C6" s="684"/>
      <c r="D6" s="682" t="s">
        <v>131</v>
      </c>
      <c r="E6" s="661"/>
      <c r="F6" s="106">
        <f>D21</f>
        <v>0</v>
      </c>
      <c r="G6" s="9"/>
      <c r="H6" s="10"/>
    </row>
    <row r="7" spans="1:16" s="8" customFormat="1" ht="33" customHeight="1">
      <c r="A7" s="55" t="s">
        <v>132</v>
      </c>
      <c r="B7" s="662">
        <f>CALENDAR!C2</f>
        <v>0</v>
      </c>
      <c r="C7" s="661"/>
      <c r="D7" s="660" t="s">
        <v>133</v>
      </c>
      <c r="E7" s="661"/>
      <c r="F7" s="107">
        <f>SUM(F12:F20)</f>
        <v>0</v>
      </c>
      <c r="G7" s="9"/>
      <c r="H7" s="10"/>
    </row>
    <row r="8" spans="1:16" s="8" customFormat="1" ht="31" customHeight="1">
      <c r="A8" s="54" t="s">
        <v>134</v>
      </c>
      <c r="B8" s="680">
        <f>CALENDAR!C3</f>
        <v>0</v>
      </c>
      <c r="C8" s="661"/>
      <c r="D8" s="681" t="s">
        <v>135</v>
      </c>
      <c r="E8" s="661"/>
      <c r="F8" s="108">
        <f>F6-F7</f>
        <v>0</v>
      </c>
      <c r="G8" s="9"/>
      <c r="H8" s="10"/>
    </row>
    <row r="9" spans="1:16" s="8" customFormat="1" ht="32" customHeight="1">
      <c r="A9" s="55" t="s">
        <v>136</v>
      </c>
      <c r="B9" s="678">
        <f>CALENDAR!J2</f>
        <v>0</v>
      </c>
      <c r="C9" s="661"/>
      <c r="D9" s="679" t="s">
        <v>137</v>
      </c>
      <c r="E9" s="661"/>
      <c r="F9" s="1"/>
      <c r="G9" s="9"/>
      <c r="H9" s="10"/>
    </row>
    <row r="10" spans="1:16" s="8" customFormat="1" ht="30" customHeight="1" thickBot="1">
      <c r="A10" s="16"/>
      <c r="B10" s="56"/>
      <c r="C10" s="6"/>
      <c r="D10" s="7"/>
      <c r="E10" s="7"/>
      <c r="F10" s="7"/>
      <c r="G10" s="17"/>
      <c r="H10" s="7"/>
      <c r="I10" s="7"/>
      <c r="J10" s="7"/>
      <c r="K10" s="7"/>
      <c r="L10" s="7"/>
      <c r="M10" s="7"/>
      <c r="N10" s="7"/>
      <c r="O10" s="7"/>
      <c r="P10" s="7"/>
    </row>
    <row r="11" spans="1:16" s="6" customFormat="1" ht="44" customHeight="1" thickBot="1">
      <c r="A11" s="671" t="s">
        <v>138</v>
      </c>
      <c r="B11" s="677" t="s">
        <v>139</v>
      </c>
      <c r="C11" s="57" t="s">
        <v>140</v>
      </c>
      <c r="D11" s="677" t="s">
        <v>141</v>
      </c>
      <c r="E11" s="7"/>
      <c r="F11" s="738">
        <f>E5</f>
        <v>0</v>
      </c>
      <c r="G11" s="664"/>
      <c r="H11" s="7"/>
      <c r="I11" s="658" t="s">
        <v>142</v>
      </c>
      <c r="J11" s="659"/>
      <c r="K11" s="659"/>
      <c r="L11" s="7"/>
      <c r="M11" s="7"/>
      <c r="N11" s="7"/>
      <c r="O11" s="7"/>
      <c r="P11" s="7"/>
    </row>
    <row r="12" spans="1:16" s="6" customFormat="1" ht="32" customHeight="1">
      <c r="A12" s="659"/>
      <c r="B12" s="659"/>
      <c r="C12" s="58">
        <v>0.05</v>
      </c>
      <c r="D12" s="659"/>
      <c r="E12" s="7"/>
      <c r="F12" s="665"/>
      <c r="G12" s="666"/>
      <c r="H12" s="7"/>
      <c r="I12" s="59" t="s">
        <v>126</v>
      </c>
      <c r="J12" s="60" t="s">
        <v>143</v>
      </c>
      <c r="K12" s="60" t="s">
        <v>144</v>
      </c>
      <c r="L12" s="7"/>
      <c r="M12" s="7"/>
      <c r="N12" s="7"/>
      <c r="O12" s="7"/>
      <c r="P12" s="7"/>
    </row>
    <row r="13" spans="1:16" ht="22" customHeight="1" thickBot="1">
      <c r="A13" s="61" t="s">
        <v>15</v>
      </c>
      <c r="B13" s="109">
        <f>G28</f>
        <v>0</v>
      </c>
      <c r="C13" s="109">
        <f t="shared" ref="C13:C20" si="0">B13*$C$12</f>
        <v>0</v>
      </c>
      <c r="D13" s="109">
        <f t="shared" ref="D13:D20" si="1">B13+(B13*$C$12)</f>
        <v>0</v>
      </c>
      <c r="E13" s="7"/>
      <c r="F13" s="667"/>
      <c r="G13" s="668"/>
      <c r="I13" s="3"/>
      <c r="J13" s="4"/>
      <c r="K13" s="5"/>
    </row>
    <row r="14" spans="1:16" s="6" customFormat="1" ht="20" customHeight="1">
      <c r="A14" s="62" t="s">
        <v>16</v>
      </c>
      <c r="B14" s="110">
        <f>J49</f>
        <v>0</v>
      </c>
      <c r="C14" s="110">
        <f t="shared" si="0"/>
        <v>0</v>
      </c>
      <c r="D14" s="110">
        <f t="shared" si="1"/>
        <v>0</v>
      </c>
      <c r="E14" s="7"/>
      <c r="F14" s="271" t="str">
        <f t="shared" ref="F14:F19" si="2">A14</f>
        <v>2.FOOD</v>
      </c>
      <c r="G14" s="261">
        <f>G49</f>
        <v>0</v>
      </c>
      <c r="H14" s="7"/>
      <c r="I14" s="3"/>
      <c r="J14" s="4"/>
      <c r="K14" s="5"/>
      <c r="L14" s="7"/>
      <c r="M14" s="7"/>
      <c r="N14" s="7"/>
      <c r="O14" s="7"/>
      <c r="P14" s="7"/>
    </row>
    <row r="15" spans="1:16" s="6" customFormat="1" ht="20" customHeight="1">
      <c r="A15" s="63" t="s">
        <v>17</v>
      </c>
      <c r="B15" s="111">
        <f>E59</f>
        <v>0</v>
      </c>
      <c r="C15" s="111">
        <f t="shared" si="0"/>
        <v>0</v>
      </c>
      <c r="D15" s="111">
        <f t="shared" si="1"/>
        <v>0</v>
      </c>
      <c r="E15" s="7"/>
      <c r="F15" s="272" t="str">
        <f t="shared" si="2"/>
        <v>3.DRINKS</v>
      </c>
      <c r="G15" s="262">
        <f>G59</f>
        <v>0</v>
      </c>
      <c r="H15" s="7"/>
      <c r="I15" s="3"/>
      <c r="J15" s="4"/>
      <c r="K15" s="5"/>
      <c r="L15" s="7"/>
      <c r="M15" s="7"/>
      <c r="N15" s="7"/>
      <c r="O15" s="7"/>
      <c r="P15" s="7"/>
    </row>
    <row r="16" spans="1:16" s="6" customFormat="1" ht="20" customHeight="1">
      <c r="A16" s="55" t="s">
        <v>18</v>
      </c>
      <c r="B16" s="112">
        <f>$E$72</f>
        <v>0</v>
      </c>
      <c r="C16" s="112">
        <f t="shared" si="0"/>
        <v>0</v>
      </c>
      <c r="D16" s="112">
        <f t="shared" si="1"/>
        <v>0</v>
      </c>
      <c r="E16" s="7"/>
      <c r="F16" s="273" t="str">
        <f t="shared" si="2"/>
        <v>4. ACTIVITIES</v>
      </c>
      <c r="G16" s="263">
        <f>G72</f>
        <v>0</v>
      </c>
      <c r="H16" s="7"/>
      <c r="I16" s="3"/>
      <c r="J16" s="4"/>
      <c r="K16" s="5"/>
      <c r="L16" s="7"/>
      <c r="M16" s="7"/>
      <c r="N16" s="7"/>
      <c r="O16" s="7"/>
      <c r="P16" s="7"/>
    </row>
    <row r="17" spans="1:16" s="6" customFormat="1" ht="20" customHeight="1">
      <c r="A17" s="63" t="s">
        <v>19</v>
      </c>
      <c r="B17" s="111">
        <f>$E$80</f>
        <v>0</v>
      </c>
      <c r="C17" s="111">
        <f t="shared" si="0"/>
        <v>0</v>
      </c>
      <c r="D17" s="111">
        <f t="shared" si="1"/>
        <v>0</v>
      </c>
      <c r="E17" s="7"/>
      <c r="F17" s="274" t="str">
        <f t="shared" si="2"/>
        <v>5.TRANSPORT</v>
      </c>
      <c r="G17" s="174">
        <f>G80</f>
        <v>0</v>
      </c>
      <c r="H17" s="7"/>
      <c r="I17" s="3"/>
      <c r="J17" s="4"/>
      <c r="K17" s="5"/>
      <c r="L17" s="7"/>
      <c r="M17" s="7"/>
      <c r="N17" s="7"/>
      <c r="O17" s="7"/>
      <c r="P17" s="7"/>
    </row>
    <row r="18" spans="1:16" s="6" customFormat="1" ht="20" customHeight="1">
      <c r="A18" s="64" t="s">
        <v>20</v>
      </c>
      <c r="B18" s="113">
        <f>$E$86</f>
        <v>0</v>
      </c>
      <c r="C18" s="113">
        <f t="shared" si="0"/>
        <v>0</v>
      </c>
      <c r="D18" s="113">
        <f t="shared" si="1"/>
        <v>0</v>
      </c>
      <c r="E18" s="10"/>
      <c r="F18" s="275" t="str">
        <f t="shared" si="2"/>
        <v>6.EXPERIENCES</v>
      </c>
      <c r="G18" s="264">
        <f>G86</f>
        <v>0</v>
      </c>
      <c r="H18" s="7"/>
      <c r="I18" s="3"/>
      <c r="J18" s="4"/>
      <c r="K18" s="5"/>
      <c r="L18" s="7"/>
      <c r="M18" s="7"/>
      <c r="N18" s="7"/>
      <c r="O18" s="7"/>
      <c r="P18" s="7"/>
    </row>
    <row r="19" spans="1:16" s="6" customFormat="1" ht="20" customHeight="1">
      <c r="A19" s="65" t="s">
        <v>21</v>
      </c>
      <c r="B19" s="114">
        <f>$E$95</f>
        <v>0</v>
      </c>
      <c r="C19" s="114">
        <f t="shared" si="0"/>
        <v>0</v>
      </c>
      <c r="D19" s="114">
        <f t="shared" si="1"/>
        <v>0</v>
      </c>
      <c r="E19" s="7"/>
      <c r="F19" s="276" t="str">
        <f t="shared" si="2"/>
        <v>7.EXTRAS</v>
      </c>
      <c r="G19" s="151">
        <f>G95</f>
        <v>0</v>
      </c>
      <c r="H19" s="7"/>
      <c r="I19" s="3"/>
      <c r="J19" s="4"/>
      <c r="K19" s="5"/>
      <c r="L19" s="7"/>
      <c r="M19" s="7"/>
      <c r="N19" s="7"/>
      <c r="O19" s="7"/>
      <c r="P19" s="7"/>
    </row>
    <row r="20" spans="1:16" s="6" customFormat="1" ht="20" customHeight="1" thickBot="1">
      <c r="A20" s="66" t="s">
        <v>22</v>
      </c>
      <c r="B20" s="115">
        <f>$E$99</f>
        <v>0</v>
      </c>
      <c r="C20" s="115">
        <f t="shared" si="0"/>
        <v>0</v>
      </c>
      <c r="D20" s="115">
        <f t="shared" si="1"/>
        <v>0</v>
      </c>
      <c r="E20" s="7"/>
      <c r="F20" s="676" t="s">
        <v>145</v>
      </c>
      <c r="G20" s="669">
        <f>G14+G15+G16+G17+G18+G19</f>
        <v>0</v>
      </c>
      <c r="H20" s="7"/>
      <c r="I20" s="3"/>
      <c r="J20" s="4"/>
      <c r="K20" s="5"/>
      <c r="L20" s="7"/>
      <c r="M20" s="7"/>
      <c r="N20" s="7"/>
      <c r="O20" s="7"/>
      <c r="P20" s="7"/>
    </row>
    <row r="21" spans="1:16" ht="35" customHeight="1" thickBot="1">
      <c r="A21" s="67" t="s">
        <v>146</v>
      </c>
      <c r="B21" s="116">
        <f>SUM(B13:B20)</f>
        <v>0</v>
      </c>
      <c r="C21" s="116"/>
      <c r="D21" s="116">
        <f>SUM(D13:D20)</f>
        <v>0</v>
      </c>
      <c r="E21" s="51"/>
      <c r="F21" s="670"/>
      <c r="G21" s="670"/>
    </row>
    <row r="22" spans="1:16" s="8" customFormat="1" ht="11" customHeight="1" thickBot="1">
      <c r="A22" s="16"/>
      <c r="B22" s="56"/>
      <c r="C22" s="6"/>
      <c r="D22" s="7"/>
      <c r="E22" s="7"/>
      <c r="F22" s="7"/>
      <c r="G22" s="17"/>
      <c r="H22" s="7"/>
      <c r="I22" s="7"/>
      <c r="J22" s="7"/>
      <c r="K22" s="7"/>
      <c r="L22" s="7"/>
      <c r="M22" s="7"/>
      <c r="N22" s="7"/>
      <c r="O22" s="7"/>
      <c r="P22" s="7"/>
    </row>
    <row r="23" spans="1:16" ht="44" customHeight="1" thickBot="1">
      <c r="A23" s="68" t="s">
        <v>114</v>
      </c>
      <c r="B23" s="69" t="s">
        <v>52</v>
      </c>
      <c r="C23" s="69" t="s">
        <v>147</v>
      </c>
      <c r="D23" s="69" t="s">
        <v>148</v>
      </c>
      <c r="E23" s="70" t="s">
        <v>149</v>
      </c>
      <c r="F23" s="70" t="s">
        <v>150</v>
      </c>
      <c r="G23" s="70" t="s">
        <v>151</v>
      </c>
    </row>
    <row r="24" spans="1:16" ht="20" customHeight="1">
      <c r="A24" s="71" t="s">
        <v>174</v>
      </c>
      <c r="B24" s="93">
        <v>0</v>
      </c>
      <c r="C24" s="117">
        <f>398381.8</f>
        <v>398381.8</v>
      </c>
      <c r="D24" s="118"/>
      <c r="E24" s="119">
        <f>(C24+D24)*$B$9*B24</f>
        <v>0</v>
      </c>
      <c r="F24" s="2">
        <v>0</v>
      </c>
      <c r="G24" s="119">
        <f>E24-(E24*F24)</f>
        <v>0</v>
      </c>
    </row>
    <row r="25" spans="1:16" ht="20" customHeight="1">
      <c r="A25" s="71" t="s">
        <v>175</v>
      </c>
      <c r="B25" s="93">
        <v>1</v>
      </c>
      <c r="C25" s="117">
        <f>398381.8</f>
        <v>398381.8</v>
      </c>
      <c r="D25" s="118">
        <v>50000</v>
      </c>
      <c r="E25" s="119">
        <f>(C25+D25)*$B$9*B25</f>
        <v>0</v>
      </c>
      <c r="F25" s="2">
        <v>0</v>
      </c>
      <c r="G25" s="119">
        <f>E25-(E25*F25)</f>
        <v>0</v>
      </c>
    </row>
    <row r="26" spans="1:16" ht="20" customHeight="1">
      <c r="A26" s="71" t="s">
        <v>176</v>
      </c>
      <c r="B26" s="93">
        <v>0</v>
      </c>
      <c r="C26" s="117">
        <f>358543.62</f>
        <v>358543.62</v>
      </c>
      <c r="D26" s="118"/>
      <c r="E26" s="119">
        <f>(C26+D26)*$B$9*B26</f>
        <v>0</v>
      </c>
      <c r="F26" s="2">
        <v>0</v>
      </c>
      <c r="G26" s="119">
        <f>E26-(E26*F26)</f>
        <v>0</v>
      </c>
    </row>
    <row r="27" spans="1:16" ht="20" customHeight="1" thickBot="1">
      <c r="A27" s="71" t="s">
        <v>177</v>
      </c>
      <c r="B27" s="93">
        <v>0</v>
      </c>
      <c r="C27" s="117">
        <f>358543.62</f>
        <v>358543.62</v>
      </c>
      <c r="D27" s="118">
        <v>50000</v>
      </c>
      <c r="E27" s="119">
        <f>(C27+D27)*$B$9*B27</f>
        <v>0</v>
      </c>
      <c r="F27" s="2">
        <v>0</v>
      </c>
      <c r="G27" s="119">
        <f>E27-(E27*F27)</f>
        <v>0</v>
      </c>
    </row>
    <row r="28" spans="1:16" ht="29" customHeight="1" thickBot="1">
      <c r="A28" s="672" t="s">
        <v>156</v>
      </c>
      <c r="B28" s="673"/>
      <c r="C28" s="673"/>
      <c r="D28" s="673"/>
      <c r="E28" s="72"/>
      <c r="F28" s="73"/>
      <c r="G28" s="120">
        <f>SUM(G24:G27)</f>
        <v>0</v>
      </c>
    </row>
    <row r="29" spans="1:16" s="8" customFormat="1" ht="11" customHeight="1" thickBot="1">
      <c r="A29" s="16"/>
      <c r="B29" s="56"/>
      <c r="C29" s="6"/>
      <c r="D29" s="7"/>
      <c r="E29" s="7"/>
      <c r="F29" s="7"/>
      <c r="G29" s="17"/>
      <c r="H29" s="7"/>
      <c r="I29" s="7"/>
      <c r="J29" s="7"/>
      <c r="K29" s="7"/>
      <c r="L29" s="7"/>
      <c r="M29" s="7"/>
      <c r="N29" s="7"/>
      <c r="O29" s="7"/>
      <c r="P29" s="7"/>
    </row>
    <row r="30" spans="1:16" s="10" customFormat="1" ht="40" customHeight="1" thickBot="1">
      <c r="A30" s="18" t="s">
        <v>51</v>
      </c>
      <c r="B30" s="159" t="s">
        <v>52</v>
      </c>
      <c r="C30" s="160" t="s">
        <v>53</v>
      </c>
      <c r="D30" s="153" t="s">
        <v>54</v>
      </c>
      <c r="E30" s="149" t="s">
        <v>157</v>
      </c>
      <c r="F30" s="103" t="s">
        <v>158</v>
      </c>
      <c r="G30" s="147" t="s">
        <v>159</v>
      </c>
    </row>
    <row r="31" spans="1:16" ht="20" customHeight="1" thickBot="1">
      <c r="A31" s="154" t="str">
        <f>'BASE PAX'!A6</f>
        <v>BREAKFAST</v>
      </c>
      <c r="B31" s="284">
        <f>(B5*B9*'BASE PAX'!G6)+('BASE PAX'!H6*B6*B9)</f>
        <v>0</v>
      </c>
      <c r="C31" s="121"/>
      <c r="D31" s="144"/>
      <c r="E31" s="283"/>
      <c r="F31" s="122">
        <f t="shared" ref="F31:F46" si="3">B31*C31</f>
        <v>0</v>
      </c>
      <c r="G31" s="325">
        <f>0.2*B31</f>
        <v>0</v>
      </c>
      <c r="H31" s="354" t="str">
        <f>'BASE PAX'!A6</f>
        <v>BREAKFAST</v>
      </c>
      <c r="I31" s="355">
        <f>B31</f>
        <v>0</v>
      </c>
    </row>
    <row r="32" spans="1:16" ht="20" customHeight="1">
      <c r="A32" s="155" t="str">
        <f>'BASE PAX'!A7</f>
        <v>LUNCH 1</v>
      </c>
      <c r="B32" s="89">
        <f>($B$5+($B$6*0.5))*'BASE PAX'!B7</f>
        <v>0</v>
      </c>
      <c r="C32" s="123">
        <f>'BASE PAX'!C7</f>
        <v>40000</v>
      </c>
      <c r="D32" s="125">
        <f>'BASE PAX'!D7</f>
        <v>48000</v>
      </c>
      <c r="E32" s="151">
        <f t="shared" ref="E32:E46" si="4">D32*B32</f>
        <v>0</v>
      </c>
      <c r="F32" s="124">
        <f t="shared" si="3"/>
        <v>0</v>
      </c>
      <c r="G32" s="146">
        <f t="shared" ref="G32:G46" si="5">E32-F32</f>
        <v>0</v>
      </c>
      <c r="H32" s="294"/>
      <c r="I32" s="295"/>
    </row>
    <row r="33" spans="1:11" ht="20" customHeight="1">
      <c r="A33" s="155" t="str">
        <f>'BASE PAX'!A8</f>
        <v>LUNCH 2</v>
      </c>
      <c r="B33" s="89">
        <f>($B$5+($B$6*0.5))*'BASE PAX'!B8</f>
        <v>0</v>
      </c>
      <c r="C33" s="123">
        <f>'BASE PAX'!C8</f>
        <v>40000</v>
      </c>
      <c r="D33" s="125">
        <f>'BASE PAX'!D8</f>
        <v>48000</v>
      </c>
      <c r="E33" s="151">
        <f t="shared" si="4"/>
        <v>0</v>
      </c>
      <c r="F33" s="124">
        <f t="shared" si="3"/>
        <v>0</v>
      </c>
      <c r="G33" s="146">
        <f t="shared" si="5"/>
        <v>0</v>
      </c>
      <c r="H33" s="294"/>
      <c r="I33" s="295"/>
    </row>
    <row r="34" spans="1:11" ht="20" customHeight="1">
      <c r="A34" s="155" t="str">
        <f>'BASE PAX'!A9</f>
        <v>LUNCH 3</v>
      </c>
      <c r="B34" s="89">
        <f>($B$5+($B$6*0.5))*'BASE PAX'!B9</f>
        <v>0</v>
      </c>
      <c r="C34" s="123">
        <f>'BASE PAX'!C9</f>
        <v>40000</v>
      </c>
      <c r="D34" s="125">
        <f>'BASE PAX'!D9</f>
        <v>48000</v>
      </c>
      <c r="E34" s="151">
        <f t="shared" si="4"/>
        <v>0</v>
      </c>
      <c r="F34" s="124">
        <f t="shared" si="3"/>
        <v>0</v>
      </c>
      <c r="G34" s="146">
        <f t="shared" si="5"/>
        <v>0</v>
      </c>
      <c r="H34" s="294"/>
      <c r="I34" s="295"/>
    </row>
    <row r="35" spans="1:11" ht="20" customHeight="1">
      <c r="A35" s="155" t="str">
        <f>'BASE PAX'!A10</f>
        <v>LUNCH 4</v>
      </c>
      <c r="B35" s="89">
        <f>($B$5+($B$6*0.5))*'BASE PAX'!B10</f>
        <v>0</v>
      </c>
      <c r="C35" s="123">
        <f>'BASE PAX'!C10</f>
        <v>45000</v>
      </c>
      <c r="D35" s="125">
        <f>'BASE PAX'!D10</f>
        <v>54000</v>
      </c>
      <c r="E35" s="151">
        <f t="shared" si="4"/>
        <v>0</v>
      </c>
      <c r="F35" s="124">
        <f t="shared" si="3"/>
        <v>0</v>
      </c>
      <c r="G35" s="146">
        <f t="shared" si="5"/>
        <v>0</v>
      </c>
      <c r="H35" s="294"/>
      <c r="I35" s="295"/>
    </row>
    <row r="36" spans="1:11" ht="20" customHeight="1">
      <c r="A36" s="155" t="str">
        <f>'BASE PAX'!A11</f>
        <v>LUNCH 5</v>
      </c>
      <c r="B36" s="89">
        <f>($B$5+($B$6*0.6))*'BASE PAX'!B11</f>
        <v>0</v>
      </c>
      <c r="C36" s="123">
        <f>'BASE PAX'!C11</f>
        <v>50000</v>
      </c>
      <c r="D36" s="125">
        <f>'BASE PAX'!D11</f>
        <v>60000</v>
      </c>
      <c r="E36" s="151">
        <f t="shared" si="4"/>
        <v>0</v>
      </c>
      <c r="F36" s="124">
        <f t="shared" si="3"/>
        <v>0</v>
      </c>
      <c r="G36" s="146">
        <f t="shared" si="5"/>
        <v>0</v>
      </c>
      <c r="H36" s="294"/>
      <c r="I36" s="295"/>
    </row>
    <row r="37" spans="1:11" ht="20" customHeight="1">
      <c r="A37" s="155" t="str">
        <f>'BASE PAX'!A12</f>
        <v>LUNCH 6</v>
      </c>
      <c r="B37" s="89">
        <f>($B$5+($B$6*0.5))*'BASE PAX'!B12</f>
        <v>0</v>
      </c>
      <c r="C37" s="123">
        <f>'BASE PAX'!C12</f>
        <v>0</v>
      </c>
      <c r="D37" s="125">
        <f>'BASE PAX'!D12</f>
        <v>0</v>
      </c>
      <c r="E37" s="151">
        <f t="shared" si="4"/>
        <v>0</v>
      </c>
      <c r="F37" s="124">
        <f t="shared" si="3"/>
        <v>0</v>
      </c>
      <c r="G37" s="146">
        <f t="shared" si="5"/>
        <v>0</v>
      </c>
      <c r="H37" s="294"/>
      <c r="I37" s="295"/>
    </row>
    <row r="38" spans="1:11" ht="20" customHeight="1">
      <c r="A38" s="155" t="str">
        <f>'BASE PAX'!A13</f>
        <v>LUNCH 7</v>
      </c>
      <c r="B38" s="89">
        <f>($B$5+($B$6*0.5))*'BASE PAX'!B13</f>
        <v>0</v>
      </c>
      <c r="C38" s="123">
        <f>'BASE PAX'!C13</f>
        <v>5000</v>
      </c>
      <c r="D38" s="125">
        <f>'BASE PAX'!D13</f>
        <v>6000</v>
      </c>
      <c r="E38" s="151">
        <f t="shared" si="4"/>
        <v>0</v>
      </c>
      <c r="F38" s="124">
        <f t="shared" si="3"/>
        <v>0</v>
      </c>
      <c r="G38" s="146">
        <f t="shared" si="5"/>
        <v>0</v>
      </c>
      <c r="H38" s="294"/>
      <c r="I38" s="295"/>
    </row>
    <row r="39" spans="1:11" ht="20" customHeight="1">
      <c r="A39" s="156" t="str">
        <f>'BASE PAX'!A14</f>
        <v>SNACKS</v>
      </c>
      <c r="B39" s="90">
        <f>($B$5+$B$6)*'BASE PAX'!B14</f>
        <v>0</v>
      </c>
      <c r="C39" s="125">
        <f>'BASE PAX'!C14</f>
        <v>8000</v>
      </c>
      <c r="D39" s="145">
        <f>'BASE PAX'!D14</f>
        <v>9600</v>
      </c>
      <c r="E39" s="150">
        <f t="shared" si="4"/>
        <v>0</v>
      </c>
      <c r="F39" s="122">
        <f t="shared" si="3"/>
        <v>0</v>
      </c>
      <c r="G39" s="146">
        <f t="shared" si="5"/>
        <v>0</v>
      </c>
      <c r="H39" s="294"/>
      <c r="I39" s="295"/>
    </row>
    <row r="40" spans="1:11" ht="20" customHeight="1">
      <c r="A40" s="155" t="str">
        <f>'BASE PAX'!A15</f>
        <v>DINNER 1</v>
      </c>
      <c r="B40" s="89">
        <f>($B$5+($B$6*0.6))*'BASE PAX'!B15</f>
        <v>0</v>
      </c>
      <c r="C40" s="123">
        <f>'BASE PAX'!C15</f>
        <v>70000</v>
      </c>
      <c r="D40" s="125">
        <f>'BASE PAX'!D15</f>
        <v>84000</v>
      </c>
      <c r="E40" s="151">
        <f t="shared" si="4"/>
        <v>0</v>
      </c>
      <c r="F40" s="124">
        <f t="shared" si="3"/>
        <v>0</v>
      </c>
      <c r="G40" s="146">
        <f t="shared" si="5"/>
        <v>0</v>
      </c>
      <c r="H40" s="294"/>
      <c r="I40" s="295"/>
    </row>
    <row r="41" spans="1:11" ht="20" customHeight="1">
      <c r="A41" s="155" t="str">
        <f>'BASE PAX'!A16</f>
        <v>DINNER 2</v>
      </c>
      <c r="B41" s="89">
        <f>($B$5+($B$6*0.6))*'BASE PAX'!B16</f>
        <v>0</v>
      </c>
      <c r="C41" s="123">
        <f>'BASE PAX'!C16</f>
        <v>25000</v>
      </c>
      <c r="D41" s="125">
        <f>'BASE PAX'!D16</f>
        <v>30000</v>
      </c>
      <c r="E41" s="151">
        <f t="shared" si="4"/>
        <v>0</v>
      </c>
      <c r="F41" s="124">
        <f t="shared" si="3"/>
        <v>0</v>
      </c>
      <c r="G41" s="146">
        <f t="shared" si="5"/>
        <v>0</v>
      </c>
      <c r="H41" s="294"/>
      <c r="I41" s="295"/>
    </row>
    <row r="42" spans="1:11" ht="20" customHeight="1">
      <c r="A42" s="155" t="str">
        <f>'BASE PAX'!A17</f>
        <v>DINNER 3</v>
      </c>
      <c r="B42" s="89">
        <f>($B$5+($B$6*0.6))*'BASE PAX'!B17</f>
        <v>0</v>
      </c>
      <c r="C42" s="123">
        <f>'BASE PAX'!C17</f>
        <v>50000</v>
      </c>
      <c r="D42" s="125">
        <f>'BASE PAX'!D17</f>
        <v>60000</v>
      </c>
      <c r="E42" s="151">
        <f t="shared" si="4"/>
        <v>0</v>
      </c>
      <c r="F42" s="124">
        <f t="shared" si="3"/>
        <v>0</v>
      </c>
      <c r="G42" s="146">
        <f t="shared" si="5"/>
        <v>0</v>
      </c>
      <c r="H42" s="294"/>
      <c r="I42" s="295"/>
    </row>
    <row r="43" spans="1:11" ht="20" customHeight="1">
      <c r="A43" s="155" t="str">
        <f>'BASE PAX'!A18</f>
        <v>DINNER 4</v>
      </c>
      <c r="B43" s="89">
        <f>($B$5+($B$6*0.5))*'BASE PAX'!B18</f>
        <v>0</v>
      </c>
      <c r="C43" s="123">
        <f>'BASE PAX'!C18</f>
        <v>65000</v>
      </c>
      <c r="D43" s="125">
        <f>'BASE PAX'!D18</f>
        <v>78000</v>
      </c>
      <c r="E43" s="151">
        <f t="shared" si="4"/>
        <v>0</v>
      </c>
      <c r="F43" s="124">
        <f t="shared" si="3"/>
        <v>0</v>
      </c>
      <c r="G43" s="146">
        <f t="shared" si="5"/>
        <v>0</v>
      </c>
      <c r="H43" s="294"/>
      <c r="I43" s="295"/>
    </row>
    <row r="44" spans="1:11" ht="20" customHeight="1">
      <c r="A44" s="155" t="str">
        <f>'BASE PAX'!A19</f>
        <v>DINNER 5</v>
      </c>
      <c r="B44" s="89">
        <f>($B$5+($B$6*0.6))*'BASE PAX'!B19</f>
        <v>0</v>
      </c>
      <c r="C44" s="123">
        <f>'BASE PAX'!C19</f>
        <v>75000</v>
      </c>
      <c r="D44" s="125">
        <f>'BASE PAX'!D19</f>
        <v>90000</v>
      </c>
      <c r="E44" s="151">
        <f t="shared" si="4"/>
        <v>0</v>
      </c>
      <c r="F44" s="124">
        <f t="shared" si="3"/>
        <v>0</v>
      </c>
      <c r="G44" s="146">
        <f t="shared" si="5"/>
        <v>0</v>
      </c>
      <c r="H44" s="294"/>
      <c r="I44" s="295"/>
    </row>
    <row r="45" spans="1:11" ht="20" customHeight="1">
      <c r="A45" s="155" t="str">
        <f>'BASE PAX'!A20</f>
        <v>DINNER 6</v>
      </c>
      <c r="B45" s="89">
        <f>($B$5+($B$6*0.5))*'BASE PAX'!B20</f>
        <v>0</v>
      </c>
      <c r="C45" s="123">
        <f>'BASE PAX'!C20</f>
        <v>0</v>
      </c>
      <c r="D45" s="125">
        <f>'BASE PAX'!D20</f>
        <v>0</v>
      </c>
      <c r="E45" s="151">
        <f t="shared" si="4"/>
        <v>0</v>
      </c>
      <c r="F45" s="124">
        <f t="shared" si="3"/>
        <v>0</v>
      </c>
      <c r="G45" s="146">
        <f t="shared" si="5"/>
        <v>0</v>
      </c>
      <c r="H45" s="294"/>
      <c r="I45" s="295"/>
    </row>
    <row r="46" spans="1:11" ht="20" customHeight="1" thickBot="1">
      <c r="A46" s="155" t="str">
        <f>'BASE PAX'!A21</f>
        <v>DINNER 7</v>
      </c>
      <c r="B46" s="89">
        <f>($B$5+($B$6*0.6))*'BASE PAX'!B21</f>
        <v>0</v>
      </c>
      <c r="C46" s="123">
        <f>'BASE PAX'!C21</f>
        <v>75000</v>
      </c>
      <c r="D46" s="125">
        <f>'BASE PAX'!D21</f>
        <v>90000</v>
      </c>
      <c r="E46" s="151">
        <f t="shared" si="4"/>
        <v>0</v>
      </c>
      <c r="F46" s="124">
        <f t="shared" si="3"/>
        <v>0</v>
      </c>
      <c r="G46" s="146">
        <f t="shared" si="5"/>
        <v>0</v>
      </c>
      <c r="H46" s="294"/>
      <c r="I46" s="295"/>
    </row>
    <row r="47" spans="1:11" ht="20" customHeight="1">
      <c r="A47" s="155" t="str">
        <f>'BASE PAX'!A22</f>
        <v>QUANT. TOTAL | PADRAO ALMOÇO</v>
      </c>
      <c r="B47" s="89">
        <f>'BASE PAX'!B22</f>
        <v>0</v>
      </c>
      <c r="C47" s="123"/>
      <c r="D47" s="125"/>
      <c r="E47" s="151"/>
      <c r="F47" s="124"/>
      <c r="G47" s="325">
        <f>0.2*I47</f>
        <v>0</v>
      </c>
      <c r="H47" s="338" t="str">
        <f>'BASE PAX'!A22</f>
        <v>QUANT. TOTAL | PADRAO ALMOÇO</v>
      </c>
      <c r="I47" s="350">
        <f>(B5*B47*'BASE PAX'!G22)+(B6*B47*'BASE PAX'!H22)</f>
        <v>0</v>
      </c>
      <c r="J47" s="328"/>
      <c r="K47" s="329"/>
    </row>
    <row r="48" spans="1:11" ht="20" customHeight="1" thickBot="1">
      <c r="A48" s="163" t="str">
        <f>'BASE PAX'!A23</f>
        <v>QUANT. TOTAL | PADRAO JANTAR</v>
      </c>
      <c r="B48" s="170">
        <f>'BASE PAX'!B23</f>
        <v>0</v>
      </c>
      <c r="C48" s="165"/>
      <c r="D48" s="166"/>
      <c r="E48" s="167"/>
      <c r="F48" s="168"/>
      <c r="G48" s="326">
        <f>0.2*I48</f>
        <v>0</v>
      </c>
      <c r="H48" s="347" t="str">
        <f>'BASE PAX'!A23</f>
        <v>QUANT. TOTAL | PADRAO JANTAR</v>
      </c>
      <c r="I48" s="336">
        <f>(B5*B48*'BASE PAX'!G23)+(B6*B48*'BASE PAX'!H23)</f>
        <v>0</v>
      </c>
      <c r="J48" s="330"/>
      <c r="K48" s="331"/>
    </row>
    <row r="49" spans="1:16" ht="29" customHeight="1" thickBot="1">
      <c r="A49" s="161" t="s">
        <v>72</v>
      </c>
      <c r="B49" s="157"/>
      <c r="C49" s="158"/>
      <c r="D49" s="152"/>
      <c r="E49" s="300">
        <f>SUM(E31:E48)</f>
        <v>0</v>
      </c>
      <c r="F49" s="104">
        <f>SUM(F31:F48)</f>
        <v>0</v>
      </c>
      <c r="G49" s="327">
        <f>SUM(G31:G48)</f>
        <v>0</v>
      </c>
      <c r="H49" s="341" t="s">
        <v>55</v>
      </c>
      <c r="I49" s="343">
        <f>I31+I47+I48</f>
        <v>0</v>
      </c>
      <c r="J49" s="360">
        <f>I49+E49</f>
        <v>0</v>
      </c>
      <c r="K49" s="344" t="s">
        <v>160</v>
      </c>
    </row>
    <row r="50" spans="1:16" s="8" customFormat="1" ht="11" customHeight="1" thickBot="1">
      <c r="A50" s="16"/>
      <c r="B50" s="56"/>
      <c r="C50" s="105"/>
      <c r="D50" s="102"/>
      <c r="E50" s="102"/>
      <c r="F50" s="7"/>
      <c r="G50" s="17"/>
      <c r="H50" s="7"/>
      <c r="I50" s="295"/>
      <c r="J50" s="7"/>
      <c r="K50" s="7"/>
      <c r="L50" s="7"/>
      <c r="M50" s="7"/>
      <c r="N50" s="7"/>
      <c r="O50" s="7"/>
      <c r="P50" s="7"/>
    </row>
    <row r="51" spans="1:16" ht="34" customHeight="1" thickBot="1">
      <c r="A51" s="21" t="s">
        <v>161</v>
      </c>
      <c r="B51" s="207" t="s">
        <v>52</v>
      </c>
      <c r="C51" s="208" t="s">
        <v>53</v>
      </c>
      <c r="D51" s="209" t="s">
        <v>54</v>
      </c>
      <c r="E51" s="172" t="s">
        <v>55</v>
      </c>
      <c r="F51" s="142" t="s">
        <v>158</v>
      </c>
      <c r="G51" s="182" t="s">
        <v>159</v>
      </c>
    </row>
    <row r="52" spans="1:16" ht="20" customHeight="1">
      <c r="A52" s="76" t="str">
        <f>'BASE PAX'!A27</f>
        <v>SUCOS</v>
      </c>
      <c r="B52" s="205">
        <f>'BASE PAX'!B27</f>
        <v>0</v>
      </c>
      <c r="C52" s="193">
        <f>'BASE PAX'!C27</f>
        <v>0</v>
      </c>
      <c r="D52" s="206">
        <f t="shared" ref="D52:D58" si="6">(C52*0.2)+C52</f>
        <v>0</v>
      </c>
      <c r="E52" s="174">
        <f t="shared" ref="E52:E58" si="7">D52*B52</f>
        <v>0</v>
      </c>
      <c r="F52" s="173">
        <f t="shared" ref="F52:F58" si="8">B52*C52</f>
        <v>0</v>
      </c>
      <c r="G52" s="183">
        <f t="shared" ref="G52:G59" si="9">E52-F52</f>
        <v>0</v>
      </c>
    </row>
    <row r="53" spans="1:16" ht="20" customHeight="1">
      <c r="A53" s="76" t="str">
        <f>'BASE PAX'!A28</f>
        <v>SUCOS</v>
      </c>
      <c r="B53" s="205">
        <f>'BASE PAX'!B28</f>
        <v>0</v>
      </c>
      <c r="C53" s="175">
        <f>'BASE PAX'!C28</f>
        <v>0</v>
      </c>
      <c r="D53" s="176">
        <f t="shared" si="6"/>
        <v>0</v>
      </c>
      <c r="E53" s="174">
        <f t="shared" si="7"/>
        <v>0</v>
      </c>
      <c r="F53" s="173">
        <f t="shared" si="8"/>
        <v>0</v>
      </c>
      <c r="G53" s="183">
        <f t="shared" si="9"/>
        <v>0</v>
      </c>
    </row>
    <row r="54" spans="1:16" ht="20" customHeight="1">
      <c r="A54" s="87" t="str">
        <f>'BASE PAX'!A29</f>
        <v>CERVEJAS</v>
      </c>
      <c r="B54" s="205">
        <f>'BASE PAX'!B29</f>
        <v>0</v>
      </c>
      <c r="C54" s="175">
        <f>'BASE PAX'!C29</f>
        <v>2000</v>
      </c>
      <c r="D54" s="176">
        <f t="shared" si="6"/>
        <v>2400</v>
      </c>
      <c r="E54" s="174">
        <f t="shared" si="7"/>
        <v>0</v>
      </c>
      <c r="F54" s="173">
        <f t="shared" si="8"/>
        <v>0</v>
      </c>
      <c r="G54" s="183">
        <f t="shared" si="9"/>
        <v>0</v>
      </c>
    </row>
    <row r="55" spans="1:16" ht="20" customHeight="1">
      <c r="A55" s="87" t="str">
        <f>'BASE PAX'!A30</f>
        <v>VINHOS</v>
      </c>
      <c r="B55" s="205">
        <f>'BASE PAX'!B30</f>
        <v>0</v>
      </c>
      <c r="C55" s="175">
        <f>'BASE PAX'!C30</f>
        <v>8000</v>
      </c>
      <c r="D55" s="176">
        <f t="shared" si="6"/>
        <v>9600</v>
      </c>
      <c r="E55" s="174">
        <f t="shared" si="7"/>
        <v>0</v>
      </c>
      <c r="F55" s="173">
        <f t="shared" si="8"/>
        <v>0</v>
      </c>
      <c r="G55" s="183">
        <f t="shared" si="9"/>
        <v>0</v>
      </c>
    </row>
    <row r="56" spans="1:16" ht="20" customHeight="1">
      <c r="A56" s="87" t="str">
        <f>'BASE PAX'!A31</f>
        <v>DRINKS</v>
      </c>
      <c r="B56" s="205">
        <f>'BASE PAX'!B31</f>
        <v>0</v>
      </c>
      <c r="C56" s="175">
        <f>'BASE PAX'!C31</f>
        <v>15000</v>
      </c>
      <c r="D56" s="176">
        <f t="shared" si="6"/>
        <v>18000</v>
      </c>
      <c r="E56" s="174">
        <f t="shared" si="7"/>
        <v>0</v>
      </c>
      <c r="F56" s="173">
        <f t="shared" si="8"/>
        <v>0</v>
      </c>
      <c r="G56" s="183">
        <f t="shared" si="9"/>
        <v>0</v>
      </c>
    </row>
    <row r="57" spans="1:16" ht="20" customHeight="1">
      <c r="A57" s="87" t="str">
        <f>'BASE PAX'!A32</f>
        <v>COOLER</v>
      </c>
      <c r="B57" s="205">
        <f>'BASE PAX'!B32</f>
        <v>0</v>
      </c>
      <c r="C57" s="175">
        <f>'BASE PAX'!C32</f>
        <v>5000</v>
      </c>
      <c r="D57" s="176">
        <f t="shared" si="6"/>
        <v>6000</v>
      </c>
      <c r="E57" s="174">
        <f t="shared" si="7"/>
        <v>0</v>
      </c>
      <c r="F57" s="173">
        <f t="shared" si="8"/>
        <v>0</v>
      </c>
      <c r="G57" s="183">
        <f t="shared" si="9"/>
        <v>0</v>
      </c>
    </row>
    <row r="58" spans="1:16" ht="20" customHeight="1" thickBot="1">
      <c r="A58" s="180">
        <f>'BASE PAX'!A33</f>
        <v>0</v>
      </c>
      <c r="B58" s="205">
        <f>'BASE PAX'!B33</f>
        <v>0</v>
      </c>
      <c r="C58" s="178">
        <f>'BASE PAX'!C33</f>
        <v>0</v>
      </c>
      <c r="D58" s="179">
        <f t="shared" si="6"/>
        <v>0</v>
      </c>
      <c r="E58" s="184">
        <f t="shared" si="7"/>
        <v>0</v>
      </c>
      <c r="F58" s="185">
        <f t="shared" si="8"/>
        <v>0</v>
      </c>
      <c r="G58" s="186">
        <f t="shared" si="9"/>
        <v>0</v>
      </c>
    </row>
    <row r="59" spans="1:16" ht="48" customHeight="1" thickBot="1">
      <c r="A59" s="21" t="s">
        <v>79</v>
      </c>
      <c r="B59" s="77"/>
      <c r="C59" s="126"/>
      <c r="D59" s="181"/>
      <c r="E59" s="127">
        <f>SUM(E52:E58)</f>
        <v>0</v>
      </c>
      <c r="F59" s="188">
        <f>SUM(F52:F58)</f>
        <v>0</v>
      </c>
      <c r="G59" s="189">
        <f t="shared" si="9"/>
        <v>0</v>
      </c>
    </row>
    <row r="60" spans="1:16" s="8" customFormat="1" ht="11" customHeight="1" thickBot="1">
      <c r="A60" s="16"/>
      <c r="B60" s="56"/>
      <c r="C60" s="105"/>
      <c r="D60" s="102"/>
      <c r="E60" s="102"/>
      <c r="F60" s="7"/>
      <c r="G60" s="17"/>
      <c r="H60" s="7"/>
      <c r="I60" s="7"/>
      <c r="J60" s="7"/>
      <c r="K60" s="7"/>
      <c r="L60" s="7"/>
      <c r="M60" s="7"/>
      <c r="N60" s="7"/>
      <c r="O60" s="7"/>
      <c r="P60" s="7"/>
    </row>
    <row r="61" spans="1:16" s="10" customFormat="1" ht="42" customHeight="1" thickBot="1">
      <c r="A61" s="226" t="s">
        <v>18</v>
      </c>
      <c r="B61" s="227" t="s">
        <v>52</v>
      </c>
      <c r="C61" s="228" t="s">
        <v>53</v>
      </c>
      <c r="D61" s="229" t="s">
        <v>54</v>
      </c>
      <c r="E61" s="229" t="s">
        <v>55</v>
      </c>
      <c r="F61" s="228" t="s">
        <v>158</v>
      </c>
      <c r="G61" s="230" t="s">
        <v>159</v>
      </c>
    </row>
    <row r="62" spans="1:16" ht="20" customHeight="1">
      <c r="A62" s="223" t="str">
        <f>'BASE PAX'!A37</f>
        <v>HOTTUBE</v>
      </c>
      <c r="B62" s="224">
        <f>'BASE PAX'!B37</f>
        <v>0</v>
      </c>
      <c r="C62" s="195">
        <f>'BASE PAX'!C37</f>
        <v>12000</v>
      </c>
      <c r="D62" s="225">
        <f t="shared" ref="D62:D71" si="10">C62*0.2+C62</f>
        <v>14400</v>
      </c>
      <c r="E62" s="225">
        <f t="shared" ref="E62:E71" si="11">D62*B62</f>
        <v>0</v>
      </c>
      <c r="F62" s="195">
        <f t="shared" ref="F62:F72" si="12">B62*C62</f>
        <v>0</v>
      </c>
      <c r="G62" s="194">
        <f t="shared" ref="G62:G72" si="13">E62-F62</f>
        <v>0</v>
      </c>
    </row>
    <row r="63" spans="1:16" ht="20" customHeight="1">
      <c r="A63" s="219" t="str">
        <f>'BASE PAX'!A38</f>
        <v>TREKKING 1/2 DAY</v>
      </c>
      <c r="B63" s="224">
        <f>'BASE PAX'!B38</f>
        <v>0</v>
      </c>
      <c r="C63" s="196">
        <f>'BASE PAX'!C38</f>
        <v>60000</v>
      </c>
      <c r="D63" s="220">
        <f t="shared" si="10"/>
        <v>72000</v>
      </c>
      <c r="E63" s="220">
        <f t="shared" si="11"/>
        <v>0</v>
      </c>
      <c r="F63" s="196">
        <f t="shared" si="12"/>
        <v>0</v>
      </c>
      <c r="G63" s="190">
        <f t="shared" si="13"/>
        <v>0</v>
      </c>
    </row>
    <row r="64" spans="1:16" ht="20" customHeight="1">
      <c r="A64" s="219" t="str">
        <f>'BASE PAX'!A39</f>
        <v>TREKKING FUK DAY</v>
      </c>
      <c r="B64" s="224">
        <f>'BASE PAX'!B39</f>
        <v>0</v>
      </c>
      <c r="C64" s="196">
        <f>'BASE PAX'!C39</f>
        <v>90000</v>
      </c>
      <c r="D64" s="220">
        <f t="shared" si="10"/>
        <v>108000</v>
      </c>
      <c r="E64" s="220">
        <f t="shared" si="11"/>
        <v>0</v>
      </c>
      <c r="F64" s="196">
        <f t="shared" si="12"/>
        <v>0</v>
      </c>
      <c r="G64" s="190">
        <f t="shared" si="13"/>
        <v>0</v>
      </c>
    </row>
    <row r="65" spans="1:16" ht="20" customHeight="1">
      <c r="A65" s="219" t="str">
        <f>'BASE PAX'!A40</f>
        <v>FLOTADA FAMILIAR</v>
      </c>
      <c r="B65" s="224">
        <f>'BASE PAX'!B40</f>
        <v>0</v>
      </c>
      <c r="C65" s="196">
        <f>'BASE PAX'!C40</f>
        <v>60000</v>
      </c>
      <c r="D65" s="220">
        <f t="shared" si="10"/>
        <v>72000</v>
      </c>
      <c r="E65" s="220">
        <f t="shared" si="11"/>
        <v>0</v>
      </c>
      <c r="F65" s="196">
        <f t="shared" si="12"/>
        <v>0</v>
      </c>
      <c r="G65" s="190">
        <f t="shared" si="13"/>
        <v>0</v>
      </c>
    </row>
    <row r="66" spans="1:16" ht="20" customHeight="1">
      <c r="A66" s="219" t="str">
        <f>'BASE PAX'!A41</f>
        <v>RAFTING 1/2 DAY</v>
      </c>
      <c r="B66" s="224">
        <f>'BASE PAX'!B41</f>
        <v>0</v>
      </c>
      <c r="C66" s="196">
        <f>'BASE PAX'!C41</f>
        <v>75000</v>
      </c>
      <c r="D66" s="220">
        <f t="shared" si="10"/>
        <v>90000</v>
      </c>
      <c r="E66" s="220">
        <f t="shared" si="11"/>
        <v>0</v>
      </c>
      <c r="F66" s="196">
        <f t="shared" si="12"/>
        <v>0</v>
      </c>
      <c r="G66" s="190">
        <f t="shared" si="13"/>
        <v>0</v>
      </c>
    </row>
    <row r="67" spans="1:16" ht="20" customHeight="1">
      <c r="A67" s="219" t="str">
        <f>'BASE PAX'!A42</f>
        <v>RAFTING FULL DAY</v>
      </c>
      <c r="B67" s="224">
        <f>'BASE PAX'!B42</f>
        <v>0</v>
      </c>
      <c r="C67" s="196">
        <f>'BASE PAX'!C42</f>
        <v>110000</v>
      </c>
      <c r="D67" s="220">
        <f t="shared" si="10"/>
        <v>132000</v>
      </c>
      <c r="E67" s="220">
        <f t="shared" si="11"/>
        <v>0</v>
      </c>
      <c r="F67" s="196">
        <f t="shared" si="12"/>
        <v>0</v>
      </c>
      <c r="G67" s="190">
        <f t="shared" si="13"/>
        <v>0</v>
      </c>
    </row>
    <row r="68" spans="1:16" ht="20" customHeight="1">
      <c r="A68" s="219" t="str">
        <f>'BASE PAX'!A43</f>
        <v>CABALGADA 1/2 DAy</v>
      </c>
      <c r="B68" s="224">
        <f>'BASE PAX'!B43</f>
        <v>0</v>
      </c>
      <c r="C68" s="196">
        <f>'BASE PAX'!C43</f>
        <v>90000</v>
      </c>
      <c r="D68" s="220">
        <f t="shared" si="10"/>
        <v>108000</v>
      </c>
      <c r="E68" s="220">
        <f t="shared" si="11"/>
        <v>0</v>
      </c>
      <c r="F68" s="196">
        <f t="shared" si="12"/>
        <v>0</v>
      </c>
      <c r="G68" s="190">
        <f t="shared" si="13"/>
        <v>0</v>
      </c>
    </row>
    <row r="69" spans="1:16" ht="20" customHeight="1">
      <c r="A69" s="219" t="str">
        <f>'BASE PAX'!A44</f>
        <v>CABALGADA FULL DAY</v>
      </c>
      <c r="B69" s="224">
        <f>'BASE PAX'!B44</f>
        <v>0</v>
      </c>
      <c r="C69" s="196">
        <f>'BASE PAX'!C44</f>
        <v>140000</v>
      </c>
      <c r="D69" s="220">
        <f t="shared" si="10"/>
        <v>168000</v>
      </c>
      <c r="E69" s="220">
        <f t="shared" si="11"/>
        <v>0</v>
      </c>
      <c r="F69" s="196">
        <f t="shared" si="12"/>
        <v>0</v>
      </c>
      <c r="G69" s="190">
        <f t="shared" si="13"/>
        <v>0</v>
      </c>
    </row>
    <row r="70" spans="1:16" ht="20" customHeight="1">
      <c r="A70" s="219" t="str">
        <f>'BASE PAX'!A45</f>
        <v>LANCHA YELCHO</v>
      </c>
      <c r="B70" s="224">
        <f>'BASE PAX'!B45</f>
        <v>0</v>
      </c>
      <c r="C70" s="196">
        <f>'BASE PAX'!C45</f>
        <v>120000</v>
      </c>
      <c r="D70" s="220">
        <f t="shared" si="10"/>
        <v>144000</v>
      </c>
      <c r="E70" s="220">
        <f t="shared" si="11"/>
        <v>0</v>
      </c>
      <c r="F70" s="196">
        <f t="shared" si="12"/>
        <v>0</v>
      </c>
      <c r="G70" s="190">
        <f t="shared" si="13"/>
        <v>0</v>
      </c>
    </row>
    <row r="71" spans="1:16" ht="20" customHeight="1" thickBot="1">
      <c r="A71" s="221" t="str">
        <f>'BASE PAX'!A46</f>
        <v>RECREACAO INFANTIL 3HS</v>
      </c>
      <c r="B71" s="224">
        <f>'BASE PAX'!B46</f>
        <v>0</v>
      </c>
      <c r="C71" s="197">
        <f>'BASE PAX'!C46</f>
        <v>30000</v>
      </c>
      <c r="D71" s="220">
        <f t="shared" si="10"/>
        <v>36000</v>
      </c>
      <c r="E71" s="222">
        <f t="shared" si="11"/>
        <v>0</v>
      </c>
      <c r="F71" s="197">
        <f t="shared" si="12"/>
        <v>0</v>
      </c>
      <c r="G71" s="192">
        <f t="shared" si="13"/>
        <v>0</v>
      </c>
    </row>
    <row r="72" spans="1:16" ht="48" customHeight="1" thickBot="1">
      <c r="A72" s="22" t="s">
        <v>84</v>
      </c>
      <c r="B72" s="79"/>
      <c r="C72" s="128"/>
      <c r="D72" s="128"/>
      <c r="E72" s="198">
        <f>SUM(E62:E71)</f>
        <v>0</v>
      </c>
      <c r="F72" s="204">
        <f t="shared" si="12"/>
        <v>0</v>
      </c>
      <c r="G72" s="203">
        <f t="shared" si="13"/>
        <v>0</v>
      </c>
    </row>
    <row r="73" spans="1:16" ht="37" customHeight="1" thickBot="1"/>
    <row r="74" spans="1:16" s="8" customFormat="1" ht="36" customHeight="1" thickBot="1">
      <c r="A74" s="23" t="s">
        <v>116</v>
      </c>
      <c r="B74" s="214" t="s">
        <v>52</v>
      </c>
      <c r="C74" s="215" t="s">
        <v>53</v>
      </c>
      <c r="D74" s="153" t="s">
        <v>54</v>
      </c>
      <c r="E74" s="153" t="s">
        <v>55</v>
      </c>
      <c r="F74" s="143" t="s">
        <v>162</v>
      </c>
      <c r="G74" s="147" t="s">
        <v>159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 ht="20" customHeight="1">
      <c r="A75" s="88" t="str">
        <f>'BASE PAX'!A50</f>
        <v>TRANSFER AEROPORTO CHEGADA</v>
      </c>
      <c r="B75" s="211">
        <f>'BASE PAX'!B50</f>
        <v>0</v>
      </c>
      <c r="C75" s="213">
        <v>50000</v>
      </c>
      <c r="D75" s="231">
        <f>C75*0.2+C75</f>
        <v>60000</v>
      </c>
      <c r="E75" s="231">
        <f>D75*B75</f>
        <v>0</v>
      </c>
      <c r="F75" s="210">
        <f>B75*C75</f>
        <v>0</v>
      </c>
      <c r="G75" s="199">
        <f t="shared" ref="G75:G80" si="14">E75-F75</f>
        <v>0</v>
      </c>
    </row>
    <row r="76" spans="1:16" ht="20" customHeight="1">
      <c r="A76" s="88" t="str">
        <f>'BASE PAX'!A51</f>
        <v>TRANSFER AEROPORTO PARTIDA</v>
      </c>
      <c r="B76" s="211">
        <f>'BASE PAX'!B51</f>
        <v>0</v>
      </c>
      <c r="C76" s="212">
        <f>'BASE PAX'!C51</f>
        <v>80000</v>
      </c>
      <c r="D76" s="232">
        <f>C76*0.2+C76</f>
        <v>96000</v>
      </c>
      <c r="E76" s="232">
        <f>D76*B76</f>
        <v>0</v>
      </c>
      <c r="F76" s="210">
        <f>B76*C76</f>
        <v>0</v>
      </c>
      <c r="G76" s="200">
        <f t="shared" si="14"/>
        <v>0</v>
      </c>
    </row>
    <row r="77" spans="1:16" ht="20" customHeight="1">
      <c r="A77" s="88" t="str">
        <f>'BASE PAX'!A52</f>
        <v>TRANSFERS INTERNO</v>
      </c>
      <c r="B77" s="211">
        <f>'BASE PAX'!B52</f>
        <v>0</v>
      </c>
      <c r="C77" s="212">
        <f>'BASE PAX'!C52</f>
        <v>18000</v>
      </c>
      <c r="D77" s="232">
        <f>C77*0.2+C77</f>
        <v>21600</v>
      </c>
      <c r="E77" s="232">
        <f>D77*B77</f>
        <v>0</v>
      </c>
      <c r="F77" s="210">
        <f>B77*C77</f>
        <v>0</v>
      </c>
      <c r="G77" s="200">
        <f t="shared" si="14"/>
        <v>0</v>
      </c>
    </row>
    <row r="78" spans="1:16" ht="20" customHeight="1">
      <c r="A78" s="88" t="str">
        <f>'BASE PAX'!A53</f>
        <v>EXTRAS 1</v>
      </c>
      <c r="B78" s="211">
        <f>'BASE PAX'!B53</f>
        <v>0</v>
      </c>
      <c r="C78" s="212">
        <f>'BASE PAX'!C53</f>
        <v>150000</v>
      </c>
      <c r="D78" s="232">
        <f>C78*0.2+C78</f>
        <v>180000</v>
      </c>
      <c r="E78" s="232">
        <f>D78*B78</f>
        <v>0</v>
      </c>
      <c r="F78" s="210">
        <f>B78*C78</f>
        <v>0</v>
      </c>
      <c r="G78" s="200">
        <f t="shared" si="14"/>
        <v>0</v>
      </c>
    </row>
    <row r="79" spans="1:16" ht="20" customHeight="1" thickBot="1">
      <c r="A79" s="218" t="str">
        <f>'BASE PAX'!A54</f>
        <v>EXTRAS 2</v>
      </c>
      <c r="B79" s="211">
        <f>'BASE PAX'!B54</f>
        <v>0</v>
      </c>
      <c r="C79" s="216">
        <f>'BASE PAX'!C54</f>
        <v>0</v>
      </c>
      <c r="D79" s="233">
        <f>C79*0.2+C79</f>
        <v>0</v>
      </c>
      <c r="E79" s="233">
        <f>D79*B79</f>
        <v>0</v>
      </c>
      <c r="F79" s="217">
        <f>B79*C79</f>
        <v>0</v>
      </c>
      <c r="G79" s="201">
        <f t="shared" si="14"/>
        <v>0</v>
      </c>
    </row>
    <row r="80" spans="1:16" ht="44" customHeight="1" thickBot="1">
      <c r="A80" s="23" t="s">
        <v>89</v>
      </c>
      <c r="B80" s="80"/>
      <c r="C80" s="130"/>
      <c r="D80" s="130"/>
      <c r="E80" s="131">
        <f>SUM(E75:E79)</f>
        <v>0</v>
      </c>
      <c r="F80" s="131">
        <f>SUM(F75:F79)</f>
        <v>0</v>
      </c>
      <c r="G80" s="203">
        <f t="shared" si="14"/>
        <v>0</v>
      </c>
    </row>
    <row r="81" spans="1:16" s="8" customFormat="1" ht="11" customHeight="1" thickBot="1">
      <c r="A81" s="16"/>
      <c r="B81" s="56"/>
      <c r="C81" s="105"/>
      <c r="D81" s="102"/>
      <c r="E81" s="102"/>
      <c r="F81" s="7"/>
      <c r="G81" s="17"/>
      <c r="H81" s="7"/>
      <c r="I81" s="7"/>
      <c r="J81" s="7"/>
      <c r="K81" s="7"/>
      <c r="L81" s="7"/>
      <c r="M81" s="7"/>
      <c r="N81" s="7"/>
      <c r="O81" s="7"/>
      <c r="P81" s="7"/>
    </row>
    <row r="82" spans="1:16" s="9" customFormat="1" ht="42" customHeight="1" thickBot="1">
      <c r="A82" s="246" t="s">
        <v>117</v>
      </c>
      <c r="B82" s="247" t="s">
        <v>52</v>
      </c>
      <c r="C82" s="248" t="s">
        <v>53</v>
      </c>
      <c r="D82" s="249" t="s">
        <v>54</v>
      </c>
      <c r="E82" s="249" t="s">
        <v>55</v>
      </c>
      <c r="F82" s="248" t="s">
        <v>162</v>
      </c>
      <c r="G82" s="147" t="s">
        <v>159</v>
      </c>
    </row>
    <row r="83" spans="1:16" ht="20" customHeight="1">
      <c r="A83" s="81" t="str">
        <f>'BASE PAX'!A58</f>
        <v>WS INSTRUCTOR</v>
      </c>
      <c r="B83" s="238">
        <f>'BASE PAX'!B58</f>
        <v>0</v>
      </c>
      <c r="C83" s="239">
        <f>'BASE PAX'!C58</f>
        <v>3415000</v>
      </c>
      <c r="D83" s="240">
        <f>(C83*0.15)+C83</f>
        <v>3927250</v>
      </c>
      <c r="E83" s="240">
        <f>D83*B83</f>
        <v>0</v>
      </c>
      <c r="F83" s="234">
        <f>B83*C83</f>
        <v>0</v>
      </c>
      <c r="G83" s="199">
        <f>E83-F83</f>
        <v>0</v>
      </c>
    </row>
    <row r="84" spans="1:16" ht="20" customHeight="1">
      <c r="A84" s="81" t="str">
        <f>'BASE PAX'!A59</f>
        <v>PRODUCER FEE</v>
      </c>
      <c r="B84" s="235">
        <f>'BASE PAX'!B59</f>
        <v>0</v>
      </c>
      <c r="C84" s="236">
        <f>'BASE PAX'!C59</f>
        <v>180000</v>
      </c>
      <c r="D84" s="237">
        <f>(C84*0.15)+C84</f>
        <v>207000</v>
      </c>
      <c r="E84" s="237">
        <f>D84*B84</f>
        <v>0</v>
      </c>
      <c r="F84" s="234">
        <f>B84*C84</f>
        <v>0</v>
      </c>
      <c r="G84" s="200">
        <f>E84-F84</f>
        <v>0</v>
      </c>
    </row>
    <row r="85" spans="1:16" ht="20" customHeight="1" thickBot="1">
      <c r="A85" s="241">
        <f>'BASE PAX'!A60</f>
        <v>0</v>
      </c>
      <c r="B85" s="242">
        <f>'BASE PAX'!B60</f>
        <v>0</v>
      </c>
      <c r="C85" s="243">
        <f>'BASE PAX'!C60</f>
        <v>20000</v>
      </c>
      <c r="D85" s="244">
        <f>(C85*0.15)+C85</f>
        <v>23000</v>
      </c>
      <c r="E85" s="244">
        <f>D85*B85</f>
        <v>0</v>
      </c>
      <c r="F85" s="245">
        <f>B85*C85</f>
        <v>0</v>
      </c>
      <c r="G85" s="201">
        <f>E85-F85</f>
        <v>0</v>
      </c>
    </row>
    <row r="86" spans="1:16" ht="41" customHeight="1" thickBot="1">
      <c r="A86" s="24" t="s">
        <v>163</v>
      </c>
      <c r="B86" s="82"/>
      <c r="C86" s="132"/>
      <c r="D86" s="132"/>
      <c r="E86" s="133">
        <f>SUM(E83:E85)</f>
        <v>0</v>
      </c>
      <c r="F86" s="133">
        <f>SUM(F81:F85)</f>
        <v>0</v>
      </c>
      <c r="G86" s="203">
        <f>E86-F86</f>
        <v>0</v>
      </c>
    </row>
    <row r="87" spans="1:16" s="8" customFormat="1" ht="11" customHeight="1" thickBot="1">
      <c r="A87" s="16"/>
      <c r="B87" s="56"/>
      <c r="C87" s="105"/>
      <c r="D87" s="102"/>
      <c r="E87" s="102"/>
      <c r="F87" s="7"/>
      <c r="G87" s="17"/>
      <c r="H87" s="7"/>
      <c r="I87" s="7"/>
      <c r="J87" s="7"/>
      <c r="K87" s="7"/>
      <c r="L87" s="7"/>
      <c r="M87" s="7"/>
      <c r="N87" s="7"/>
      <c r="O87" s="7"/>
      <c r="P87" s="7"/>
    </row>
    <row r="88" spans="1:16" ht="38" customHeight="1" thickBot="1">
      <c r="A88" s="258" t="s">
        <v>164</v>
      </c>
      <c r="B88" s="259" t="s">
        <v>92</v>
      </c>
      <c r="C88" s="250" t="s">
        <v>53</v>
      </c>
      <c r="D88" s="260" t="s">
        <v>54</v>
      </c>
      <c r="E88" s="260" t="s">
        <v>55</v>
      </c>
      <c r="F88" s="250"/>
      <c r="G88" s="147" t="s">
        <v>159</v>
      </c>
    </row>
    <row r="89" spans="1:16" ht="20" customHeight="1">
      <c r="A89" s="255" t="str">
        <f>'BASE PAX'!A64</f>
        <v>COORDENAÇÃO PRODUÇÃO</v>
      </c>
      <c r="B89" s="256">
        <f>'BASE PAX'!B64</f>
        <v>0</v>
      </c>
      <c r="C89" s="257">
        <f>'BASE PAX'!C64</f>
        <v>50000</v>
      </c>
      <c r="D89" s="257">
        <f>'BASE PAX'!D64</f>
        <v>0</v>
      </c>
      <c r="E89" s="121">
        <f>D89*B89</f>
        <v>0</v>
      </c>
      <c r="F89" s="257"/>
      <c r="G89" s="199">
        <f t="shared" ref="G89:G94" si="15">E89*0.2</f>
        <v>0</v>
      </c>
    </row>
    <row r="90" spans="1:16" ht="20" customHeight="1">
      <c r="A90" s="251" t="str">
        <f>'BASE PAX'!A65</f>
        <v>EXTRA MÃO DE OBRA</v>
      </c>
      <c r="B90" s="256">
        <f>'BASE PAX'!B65</f>
        <v>0</v>
      </c>
      <c r="C90" s="253">
        <f>'BASE PAX'!C65</f>
        <v>50000</v>
      </c>
      <c r="D90" s="253">
        <f>'BASE PAX'!D65</f>
        <v>0</v>
      </c>
      <c r="E90" s="121">
        <f t="shared" ref="E90:E94" si="16">D90*B90</f>
        <v>0</v>
      </c>
      <c r="F90" s="253"/>
      <c r="G90" s="199">
        <f t="shared" si="15"/>
        <v>0</v>
      </c>
    </row>
    <row r="91" spans="1:16" ht="20" customHeight="1">
      <c r="A91" s="251" t="str">
        <f>'BASE PAX'!A66</f>
        <v>TAXA LIMPEZA CHECK IN / CHECKOUT</v>
      </c>
      <c r="B91" s="252">
        <f>'BASE PAX'!B66</f>
        <v>0</v>
      </c>
      <c r="C91" s="253">
        <f>'BASE PAX'!C66</f>
        <v>40000</v>
      </c>
      <c r="D91" s="253">
        <f>'BASE PAX'!D66</f>
        <v>0</v>
      </c>
      <c r="E91" s="121">
        <f t="shared" si="16"/>
        <v>0</v>
      </c>
      <c r="F91" s="253"/>
      <c r="G91" s="199">
        <f t="shared" si="15"/>
        <v>0</v>
      </c>
    </row>
    <row r="92" spans="1:16" ht="20" customHeight="1">
      <c r="A92" s="251" t="str">
        <f>'BASE PAX'!A67</f>
        <v>TAXA LIMPEZA DIARIA</v>
      </c>
      <c r="B92" s="254">
        <f>'BASE PAX'!B67</f>
        <v>0</v>
      </c>
      <c r="C92" s="253">
        <f>'BASE PAX'!C67</f>
        <v>30000</v>
      </c>
      <c r="D92" s="253">
        <f>'BASE PAX'!D67</f>
        <v>0</v>
      </c>
      <c r="E92" s="121">
        <f t="shared" si="16"/>
        <v>0</v>
      </c>
      <c r="F92" s="253"/>
      <c r="G92" s="199">
        <f t="shared" si="15"/>
        <v>0</v>
      </c>
    </row>
    <row r="93" spans="1:16" ht="20" customHeight="1">
      <c r="A93" s="251" t="str">
        <f>'BASE PAX'!A68</f>
        <v>SOUVENIR</v>
      </c>
      <c r="B93" s="254">
        <f>'BASE PAX'!B68</f>
        <v>0</v>
      </c>
      <c r="C93" s="253">
        <f>'BASE PAX'!C68</f>
        <v>15000</v>
      </c>
      <c r="D93" s="253">
        <f>'BASE PAX'!D68</f>
        <v>0</v>
      </c>
      <c r="E93" s="121">
        <f t="shared" si="16"/>
        <v>0</v>
      </c>
      <c r="F93" s="253"/>
      <c r="G93" s="199">
        <f t="shared" si="15"/>
        <v>0</v>
      </c>
    </row>
    <row r="94" spans="1:16" ht="20" customHeight="1" thickBot="1">
      <c r="A94" s="251" t="str">
        <f>'BASE PAX'!A69</f>
        <v>ASSISTENTE COORDENAÇÃO</v>
      </c>
      <c r="B94" s="256">
        <f>'BASE PAX'!B69</f>
        <v>0</v>
      </c>
      <c r="C94" s="253">
        <f>'BASE PAX'!C69</f>
        <v>30000</v>
      </c>
      <c r="D94" s="253">
        <f>'BASE PAX'!D69</f>
        <v>0</v>
      </c>
      <c r="E94" s="121">
        <f t="shared" si="16"/>
        <v>0</v>
      </c>
      <c r="F94" s="253"/>
      <c r="G94" s="199">
        <f t="shared" si="15"/>
        <v>0</v>
      </c>
    </row>
    <row r="95" spans="1:16" ht="41" customHeight="1" thickBot="1">
      <c r="A95" s="25" t="s">
        <v>101</v>
      </c>
      <c r="B95" s="83"/>
      <c r="C95" s="134"/>
      <c r="D95" s="134"/>
      <c r="E95" s="135">
        <f>SUM(E89:E94)</f>
        <v>0</v>
      </c>
      <c r="F95" s="135"/>
      <c r="G95" s="203">
        <f>SUM(G89:G94)</f>
        <v>0</v>
      </c>
    </row>
    <row r="96" spans="1:16" s="8" customFormat="1" ht="11" customHeight="1" thickBot="1">
      <c r="A96" s="16"/>
      <c r="B96" s="56"/>
      <c r="C96" s="105"/>
      <c r="D96" s="102"/>
      <c r="E96" s="102"/>
      <c r="F96" s="7"/>
      <c r="G96" s="17"/>
      <c r="H96" s="7"/>
      <c r="I96" s="7"/>
      <c r="J96" s="7"/>
      <c r="K96" s="7"/>
      <c r="L96" s="7"/>
      <c r="M96" s="7"/>
      <c r="N96" s="7"/>
      <c r="O96" s="7"/>
      <c r="P96" s="7"/>
    </row>
    <row r="97" spans="1:16" ht="38" customHeight="1" thickBot="1">
      <c r="A97" s="26" t="s">
        <v>165</v>
      </c>
      <c r="B97" s="27" t="s">
        <v>92</v>
      </c>
      <c r="C97" s="136" t="s">
        <v>53</v>
      </c>
      <c r="D97" s="136" t="s">
        <v>54</v>
      </c>
      <c r="E97" s="137" t="s">
        <v>55</v>
      </c>
      <c r="F97" s="20"/>
      <c r="G97" s="20"/>
    </row>
    <row r="98" spans="1:16" ht="23" customHeight="1" thickBot="1">
      <c r="A98" s="84" t="str">
        <f>'BASE PAX'!A73</f>
        <v xml:space="preserve">QUINCHO DAY USE / CABIN </v>
      </c>
      <c r="B98" s="279">
        <f>'BASE PAX'!B73</f>
        <v>0</v>
      </c>
      <c r="C98" s="138">
        <f>'BASE PAX'!C73</f>
        <v>15000</v>
      </c>
      <c r="D98" s="138">
        <f>C98+(C98*0.2)</f>
        <v>18000</v>
      </c>
      <c r="E98" s="139">
        <f>D98*B98</f>
        <v>0</v>
      </c>
      <c r="F98" s="19"/>
      <c r="G98" s="17"/>
    </row>
    <row r="99" spans="1:16" ht="42" customHeight="1" thickBot="1">
      <c r="A99" s="26" t="s">
        <v>104</v>
      </c>
      <c r="B99" s="86"/>
      <c r="C99" s="140"/>
      <c r="D99" s="140"/>
      <c r="E99" s="141">
        <f>E98</f>
        <v>0</v>
      </c>
    </row>
    <row r="100" spans="1:16" s="6" customFormat="1" ht="20" customHeight="1">
      <c r="A100" s="28"/>
      <c r="B100" s="52"/>
      <c r="C100" s="11"/>
      <c r="D100" s="11"/>
      <c r="E100" s="11"/>
      <c r="F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9" customHeight="1"/>
  </sheetData>
  <sheetProtection sheet="1" objects="1" scenarios="1"/>
  <mergeCells count="17">
    <mergeCell ref="A11:A12"/>
    <mergeCell ref="A28:D28"/>
    <mergeCell ref="B5:C5"/>
    <mergeCell ref="F20:F21"/>
    <mergeCell ref="B11:B12"/>
    <mergeCell ref="D11:D12"/>
    <mergeCell ref="B9:C9"/>
    <mergeCell ref="D9:E9"/>
    <mergeCell ref="B8:C8"/>
    <mergeCell ref="D8:E8"/>
    <mergeCell ref="D6:E6"/>
    <mergeCell ref="B6:C6"/>
    <mergeCell ref="I11:K11"/>
    <mergeCell ref="D7:E7"/>
    <mergeCell ref="B7:C7"/>
    <mergeCell ref="F11:G13"/>
    <mergeCell ref="G20:G21"/>
  </mergeCells>
  <pageMargins left="0.7" right="0.7" top="0.75" bottom="0.75" header="0.3" footer="0.3"/>
  <pageSetup paperSize="9"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7"/>
  <dimension ref="A1:P101"/>
  <sheetViews>
    <sheetView topLeftCell="A76" zoomScale="160" zoomScaleNormal="84" workbookViewId="0">
      <selection activeCell="C92" sqref="C92"/>
    </sheetView>
  </sheetViews>
  <sheetFormatPr baseColWidth="10" defaultColWidth="11" defaultRowHeight="17"/>
  <cols>
    <col min="1" max="1" width="48.796875" style="7" customWidth="1"/>
    <col min="2" max="2" width="23.796875" style="52" customWidth="1"/>
    <col min="3" max="3" width="24" style="7" customWidth="1"/>
    <col min="4" max="4" width="22.796875" style="12" customWidth="1"/>
    <col min="5" max="5" width="29" style="11" customWidth="1"/>
    <col min="6" max="6" width="31" style="7" customWidth="1"/>
    <col min="7" max="7" width="27.796875" style="6" customWidth="1"/>
    <col min="8" max="8" width="32.3984375" style="7" customWidth="1"/>
    <col min="9" max="9" width="23.59765625" style="7" customWidth="1"/>
    <col min="10" max="10" width="25.19921875" style="7" customWidth="1"/>
    <col min="11" max="11" width="28.796875" style="7" customWidth="1"/>
    <col min="12" max="12" width="36.19921875" style="7" customWidth="1"/>
    <col min="13" max="28" width="11" style="7" customWidth="1"/>
    <col min="29" max="16384" width="11" style="7"/>
  </cols>
  <sheetData>
    <row r="1" spans="1:16" ht="22" hidden="1" customHeight="1" thickBot="1"/>
    <row r="2" spans="1:16" ht="7" customHeight="1">
      <c r="D2" s="13"/>
    </row>
    <row r="3" spans="1:16" s="10" customFormat="1" ht="1" customHeight="1">
      <c r="A3" s="14"/>
      <c r="B3" s="53"/>
      <c r="C3" s="15" t="s">
        <v>11</v>
      </c>
      <c r="D3" s="15"/>
      <c r="E3" s="15"/>
      <c r="G3" s="9"/>
    </row>
    <row r="4" spans="1:16" s="10" customFormat="1" ht="19" customHeight="1">
      <c r="A4" s="14"/>
      <c r="B4" s="53"/>
      <c r="C4" s="15"/>
      <c r="D4" s="15"/>
      <c r="E4" s="15"/>
      <c r="G4" s="9"/>
    </row>
    <row r="5" spans="1:16" s="10" customFormat="1" ht="50" customHeight="1">
      <c r="A5" s="54" t="s">
        <v>129</v>
      </c>
      <c r="B5" s="674">
        <v>3</v>
      </c>
      <c r="C5" s="675"/>
      <c r="D5" s="277" t="s">
        <v>14</v>
      </c>
      <c r="E5" s="277"/>
      <c r="F5" s="278"/>
      <c r="G5" s="9"/>
    </row>
    <row r="6" spans="1:16" s="8" customFormat="1" ht="37" customHeight="1">
      <c r="A6" s="54" t="s">
        <v>130</v>
      </c>
      <c r="B6" s="683">
        <v>0</v>
      </c>
      <c r="C6" s="684"/>
      <c r="D6" s="682" t="s">
        <v>131</v>
      </c>
      <c r="E6" s="661"/>
      <c r="F6" s="106">
        <f>D21</f>
        <v>0</v>
      </c>
      <c r="G6" s="9"/>
      <c r="H6" s="10"/>
    </row>
    <row r="7" spans="1:16" s="8" customFormat="1" ht="33" customHeight="1">
      <c r="A7" s="55" t="s">
        <v>132</v>
      </c>
      <c r="B7" s="662">
        <f>CALENDAR!C2</f>
        <v>0</v>
      </c>
      <c r="C7" s="661"/>
      <c r="D7" s="660" t="s">
        <v>133</v>
      </c>
      <c r="E7" s="661"/>
      <c r="F7" s="107">
        <f>SUM(F12:F20)</f>
        <v>0</v>
      </c>
      <c r="G7" s="9"/>
      <c r="H7" s="10"/>
    </row>
    <row r="8" spans="1:16" s="8" customFormat="1" ht="31" customHeight="1">
      <c r="A8" s="54" t="s">
        <v>134</v>
      </c>
      <c r="B8" s="680">
        <f>CALENDAR!C3</f>
        <v>0</v>
      </c>
      <c r="C8" s="661"/>
      <c r="D8" s="681" t="s">
        <v>135</v>
      </c>
      <c r="E8" s="661"/>
      <c r="F8" s="108">
        <f>F6-F7</f>
        <v>0</v>
      </c>
      <c r="G8" s="9"/>
      <c r="H8" s="10"/>
    </row>
    <row r="9" spans="1:16" s="8" customFormat="1" ht="32" customHeight="1">
      <c r="A9" s="55" t="s">
        <v>136</v>
      </c>
      <c r="B9" s="678">
        <f>CALENDAR!J2</f>
        <v>0</v>
      </c>
      <c r="C9" s="661"/>
      <c r="D9" s="679" t="s">
        <v>137</v>
      </c>
      <c r="E9" s="661"/>
      <c r="F9" s="1"/>
      <c r="G9" s="9"/>
      <c r="H9" s="10"/>
    </row>
    <row r="10" spans="1:16" s="8" customFormat="1" ht="30" customHeight="1" thickBot="1">
      <c r="A10" s="16"/>
      <c r="B10" s="56"/>
      <c r="C10" s="6"/>
      <c r="D10" s="7"/>
      <c r="E10" s="7"/>
      <c r="F10" s="7"/>
      <c r="G10" s="17"/>
      <c r="H10" s="7"/>
      <c r="I10" s="7"/>
      <c r="J10" s="7"/>
      <c r="K10" s="7"/>
      <c r="L10" s="7"/>
      <c r="M10" s="7"/>
      <c r="N10" s="7"/>
      <c r="O10" s="7"/>
      <c r="P10" s="7"/>
    </row>
    <row r="11" spans="1:16" s="6" customFormat="1" ht="44" customHeight="1" thickBot="1">
      <c r="A11" s="671" t="s">
        <v>138</v>
      </c>
      <c r="B11" s="677" t="s">
        <v>139</v>
      </c>
      <c r="C11" s="57" t="s">
        <v>140</v>
      </c>
      <c r="D11" s="677" t="s">
        <v>141</v>
      </c>
      <c r="E11" s="7"/>
      <c r="F11" s="738">
        <f>E5</f>
        <v>0</v>
      </c>
      <c r="G11" s="664"/>
      <c r="H11" s="7"/>
      <c r="I11" s="658" t="s">
        <v>142</v>
      </c>
      <c r="J11" s="659"/>
      <c r="K11" s="659"/>
      <c r="L11" s="7"/>
      <c r="M11" s="7"/>
      <c r="N11" s="7"/>
      <c r="O11" s="7"/>
      <c r="P11" s="7"/>
    </row>
    <row r="12" spans="1:16" s="6" customFormat="1" ht="32" customHeight="1">
      <c r="A12" s="659"/>
      <c r="B12" s="659"/>
      <c r="C12" s="58">
        <v>0.05</v>
      </c>
      <c r="D12" s="659"/>
      <c r="E12" s="7"/>
      <c r="F12" s="665"/>
      <c r="G12" s="666"/>
      <c r="H12" s="7"/>
      <c r="I12" s="59" t="s">
        <v>126</v>
      </c>
      <c r="J12" s="60" t="s">
        <v>143</v>
      </c>
      <c r="K12" s="60" t="s">
        <v>144</v>
      </c>
      <c r="L12" s="7"/>
      <c r="M12" s="7"/>
      <c r="N12" s="7"/>
      <c r="O12" s="7"/>
      <c r="P12" s="7"/>
    </row>
    <row r="13" spans="1:16" ht="22" customHeight="1" thickBot="1">
      <c r="A13" s="61" t="s">
        <v>15</v>
      </c>
      <c r="B13" s="109">
        <f>G28</f>
        <v>0</v>
      </c>
      <c r="C13" s="109">
        <f t="shared" ref="C13:C20" si="0">B13*$C$12</f>
        <v>0</v>
      </c>
      <c r="D13" s="109">
        <f t="shared" ref="D13:D20" si="1">B13+(B13*$C$12)</f>
        <v>0</v>
      </c>
      <c r="E13" s="7"/>
      <c r="F13" s="667"/>
      <c r="G13" s="668"/>
      <c r="I13" s="3"/>
      <c r="J13" s="4"/>
      <c r="K13" s="5"/>
    </row>
    <row r="14" spans="1:16" s="6" customFormat="1" ht="20" customHeight="1">
      <c r="A14" s="62" t="s">
        <v>16</v>
      </c>
      <c r="B14" s="110">
        <f>J49</f>
        <v>0</v>
      </c>
      <c r="C14" s="110">
        <f t="shared" si="0"/>
        <v>0</v>
      </c>
      <c r="D14" s="110">
        <f t="shared" si="1"/>
        <v>0</v>
      </c>
      <c r="E14" s="7"/>
      <c r="F14" s="271" t="str">
        <f t="shared" ref="F14:F19" si="2">A14</f>
        <v>2.FOOD</v>
      </c>
      <c r="G14" s="261">
        <f>G49</f>
        <v>0</v>
      </c>
      <c r="H14" s="7"/>
      <c r="I14" s="3"/>
      <c r="J14" s="4"/>
      <c r="K14" s="5"/>
      <c r="L14" s="7"/>
      <c r="M14" s="7"/>
      <c r="N14" s="7"/>
      <c r="O14" s="7"/>
      <c r="P14" s="7"/>
    </row>
    <row r="15" spans="1:16" s="6" customFormat="1" ht="20" customHeight="1">
      <c r="A15" s="63" t="s">
        <v>17</v>
      </c>
      <c r="B15" s="111">
        <f>E59</f>
        <v>0</v>
      </c>
      <c r="C15" s="111">
        <f t="shared" si="0"/>
        <v>0</v>
      </c>
      <c r="D15" s="111">
        <f t="shared" si="1"/>
        <v>0</v>
      </c>
      <c r="E15" s="7"/>
      <c r="F15" s="272" t="str">
        <f t="shared" si="2"/>
        <v>3.DRINKS</v>
      </c>
      <c r="G15" s="262">
        <f>G59</f>
        <v>0</v>
      </c>
      <c r="H15" s="7"/>
      <c r="I15" s="3"/>
      <c r="J15" s="4"/>
      <c r="K15" s="5"/>
      <c r="L15" s="7"/>
      <c r="M15" s="7"/>
      <c r="N15" s="7"/>
      <c r="O15" s="7"/>
      <c r="P15" s="7"/>
    </row>
    <row r="16" spans="1:16" s="6" customFormat="1" ht="20" customHeight="1">
      <c r="A16" s="55" t="s">
        <v>18</v>
      </c>
      <c r="B16" s="112">
        <f>$E$72</f>
        <v>0</v>
      </c>
      <c r="C16" s="112">
        <f t="shared" si="0"/>
        <v>0</v>
      </c>
      <c r="D16" s="112">
        <f t="shared" si="1"/>
        <v>0</v>
      </c>
      <c r="E16" s="7"/>
      <c r="F16" s="273" t="str">
        <f t="shared" si="2"/>
        <v>4. ACTIVITIES</v>
      </c>
      <c r="G16" s="263">
        <f>G72</f>
        <v>0</v>
      </c>
      <c r="H16" s="7"/>
      <c r="I16" s="3"/>
      <c r="J16" s="4"/>
      <c r="K16" s="5"/>
      <c r="L16" s="7"/>
      <c r="M16" s="7"/>
      <c r="N16" s="7"/>
      <c r="O16" s="7"/>
      <c r="P16" s="7"/>
    </row>
    <row r="17" spans="1:16" s="6" customFormat="1" ht="20" customHeight="1">
      <c r="A17" s="63" t="s">
        <v>19</v>
      </c>
      <c r="B17" s="111">
        <f>$E$80</f>
        <v>0</v>
      </c>
      <c r="C17" s="111">
        <f t="shared" si="0"/>
        <v>0</v>
      </c>
      <c r="D17" s="111">
        <f t="shared" si="1"/>
        <v>0</v>
      </c>
      <c r="E17" s="7"/>
      <c r="F17" s="274" t="str">
        <f t="shared" si="2"/>
        <v>5.TRANSPORT</v>
      </c>
      <c r="G17" s="174">
        <f>G80</f>
        <v>0</v>
      </c>
      <c r="H17" s="7"/>
      <c r="I17" s="3"/>
      <c r="J17" s="4"/>
      <c r="K17" s="5"/>
      <c r="L17" s="7"/>
      <c r="M17" s="7"/>
      <c r="N17" s="7"/>
      <c r="O17" s="7"/>
      <c r="P17" s="7"/>
    </row>
    <row r="18" spans="1:16" s="6" customFormat="1" ht="20" customHeight="1">
      <c r="A18" s="64" t="s">
        <v>20</v>
      </c>
      <c r="B18" s="113">
        <f>$E$86</f>
        <v>0</v>
      </c>
      <c r="C18" s="113">
        <f t="shared" si="0"/>
        <v>0</v>
      </c>
      <c r="D18" s="113">
        <f t="shared" si="1"/>
        <v>0</v>
      </c>
      <c r="E18" s="10"/>
      <c r="F18" s="275" t="str">
        <f t="shared" si="2"/>
        <v>6.EXPERIENCES</v>
      </c>
      <c r="G18" s="264">
        <f>G86</f>
        <v>0</v>
      </c>
      <c r="H18" s="7"/>
      <c r="I18" s="3"/>
      <c r="J18" s="4"/>
      <c r="K18" s="5"/>
      <c r="L18" s="7"/>
      <c r="M18" s="7"/>
      <c r="N18" s="7"/>
      <c r="O18" s="7"/>
      <c r="P18" s="7"/>
    </row>
    <row r="19" spans="1:16" s="6" customFormat="1" ht="20" customHeight="1">
      <c r="A19" s="65" t="s">
        <v>21</v>
      </c>
      <c r="B19" s="114">
        <f>$E$95</f>
        <v>0</v>
      </c>
      <c r="C19" s="114">
        <f t="shared" si="0"/>
        <v>0</v>
      </c>
      <c r="D19" s="114">
        <f t="shared" si="1"/>
        <v>0</v>
      </c>
      <c r="E19" s="7"/>
      <c r="F19" s="276" t="str">
        <f t="shared" si="2"/>
        <v>7.EXTRAS</v>
      </c>
      <c r="G19" s="151">
        <f>G95</f>
        <v>0</v>
      </c>
      <c r="H19" s="7"/>
      <c r="I19" s="3"/>
      <c r="J19" s="4"/>
      <c r="K19" s="5"/>
      <c r="L19" s="7"/>
      <c r="M19" s="7"/>
      <c r="N19" s="7"/>
      <c r="O19" s="7"/>
      <c r="P19" s="7"/>
    </row>
    <row r="20" spans="1:16" s="6" customFormat="1" ht="20" customHeight="1" thickBot="1">
      <c r="A20" s="66" t="s">
        <v>22</v>
      </c>
      <c r="B20" s="115">
        <f>$E$99</f>
        <v>0</v>
      </c>
      <c r="C20" s="115">
        <f t="shared" si="0"/>
        <v>0</v>
      </c>
      <c r="D20" s="115">
        <f t="shared" si="1"/>
        <v>0</v>
      </c>
      <c r="E20" s="7"/>
      <c r="F20" s="676" t="s">
        <v>145</v>
      </c>
      <c r="G20" s="669">
        <f>G14+G15+G16+G17+G18+G19</f>
        <v>0</v>
      </c>
      <c r="H20" s="7"/>
      <c r="I20" s="3"/>
      <c r="J20" s="4"/>
      <c r="K20" s="5"/>
      <c r="L20" s="7"/>
      <c r="M20" s="7"/>
      <c r="N20" s="7"/>
      <c r="O20" s="7"/>
      <c r="P20" s="7"/>
    </row>
    <row r="21" spans="1:16" ht="35" customHeight="1" thickBot="1">
      <c r="A21" s="67" t="s">
        <v>146</v>
      </c>
      <c r="B21" s="116">
        <f>SUM(B13:B20)</f>
        <v>0</v>
      </c>
      <c r="C21" s="116"/>
      <c r="D21" s="116">
        <f>SUM(D13:D20)</f>
        <v>0</v>
      </c>
      <c r="E21" s="51"/>
      <c r="F21" s="670"/>
      <c r="G21" s="670"/>
    </row>
    <row r="22" spans="1:16" s="8" customFormat="1" ht="11" customHeight="1" thickBot="1">
      <c r="A22" s="16"/>
      <c r="B22" s="56"/>
      <c r="C22" s="6"/>
      <c r="D22" s="7"/>
      <c r="E22" s="7"/>
      <c r="F22" s="7"/>
      <c r="G22" s="17"/>
      <c r="H22" s="7"/>
      <c r="I22" s="7"/>
      <c r="J22" s="7"/>
      <c r="K22" s="7"/>
      <c r="L22" s="7"/>
      <c r="M22" s="7"/>
      <c r="N22" s="7"/>
      <c r="O22" s="7"/>
      <c r="P22" s="7"/>
    </row>
    <row r="23" spans="1:16" ht="44" customHeight="1" thickBot="1">
      <c r="A23" s="68" t="s">
        <v>114</v>
      </c>
      <c r="B23" s="69" t="s">
        <v>52</v>
      </c>
      <c r="C23" s="69" t="s">
        <v>147</v>
      </c>
      <c r="D23" s="69" t="s">
        <v>148</v>
      </c>
      <c r="E23" s="70" t="s">
        <v>149</v>
      </c>
      <c r="F23" s="70" t="s">
        <v>150</v>
      </c>
      <c r="G23" s="70" t="s">
        <v>151</v>
      </c>
    </row>
    <row r="24" spans="1:16" ht="20" customHeight="1">
      <c r="A24" s="71" t="s">
        <v>174</v>
      </c>
      <c r="B24" s="93">
        <v>1</v>
      </c>
      <c r="C24" s="117">
        <f>398381.8</f>
        <v>398381.8</v>
      </c>
      <c r="D24" s="118"/>
      <c r="E24" s="119">
        <f>(C24+D24)*$B$9*B24</f>
        <v>0</v>
      </c>
      <c r="F24" s="2">
        <v>0</v>
      </c>
      <c r="G24" s="119">
        <f>E24-(E24*F24)</f>
        <v>0</v>
      </c>
    </row>
    <row r="25" spans="1:16" ht="20" customHeight="1">
      <c r="A25" s="71" t="s">
        <v>175</v>
      </c>
      <c r="B25" s="93">
        <v>0</v>
      </c>
      <c r="C25" s="117">
        <f>398381.8</f>
        <v>398381.8</v>
      </c>
      <c r="D25" s="118">
        <v>50000</v>
      </c>
      <c r="E25" s="119">
        <f>(C25+D25)*$B$9*B25</f>
        <v>0</v>
      </c>
      <c r="F25" s="2">
        <v>0</v>
      </c>
      <c r="G25" s="119">
        <f>E25-(E25*F25)</f>
        <v>0</v>
      </c>
    </row>
    <row r="26" spans="1:16" ht="20" customHeight="1">
      <c r="A26" s="71" t="s">
        <v>176</v>
      </c>
      <c r="B26" s="93">
        <v>0</v>
      </c>
      <c r="C26" s="117">
        <f>358543.62</f>
        <v>358543.62</v>
      </c>
      <c r="D26" s="118"/>
      <c r="E26" s="119">
        <f>(C26+D26)*$B$9*B26</f>
        <v>0</v>
      </c>
      <c r="F26" s="2">
        <v>0</v>
      </c>
      <c r="G26" s="119">
        <f>E26-(E26*F26)</f>
        <v>0</v>
      </c>
    </row>
    <row r="27" spans="1:16" ht="20" customHeight="1" thickBot="1">
      <c r="A27" s="71" t="s">
        <v>177</v>
      </c>
      <c r="B27" s="93">
        <v>0</v>
      </c>
      <c r="C27" s="117">
        <f>358543.62</f>
        <v>358543.62</v>
      </c>
      <c r="D27" s="118">
        <v>50000</v>
      </c>
      <c r="E27" s="119">
        <f>(C27+D27)*$B$9*B27</f>
        <v>0</v>
      </c>
      <c r="F27" s="2">
        <v>0</v>
      </c>
      <c r="G27" s="119">
        <f>E27-(E27*F27)</f>
        <v>0</v>
      </c>
    </row>
    <row r="28" spans="1:16" ht="29" customHeight="1" thickBot="1">
      <c r="A28" s="672" t="s">
        <v>156</v>
      </c>
      <c r="B28" s="673"/>
      <c r="C28" s="673"/>
      <c r="D28" s="673"/>
      <c r="E28" s="72"/>
      <c r="F28" s="73"/>
      <c r="G28" s="120">
        <f>SUM(G24:G27)</f>
        <v>0</v>
      </c>
    </row>
    <row r="29" spans="1:16" s="8" customFormat="1" ht="11" customHeight="1" thickBot="1">
      <c r="A29" s="16"/>
      <c r="B29" s="56"/>
      <c r="C29" s="6"/>
      <c r="D29" s="7"/>
      <c r="E29" s="7"/>
      <c r="F29" s="7"/>
      <c r="G29" s="17"/>
      <c r="H29" s="7"/>
      <c r="I29" s="286"/>
      <c r="J29" s="7"/>
      <c r="K29" s="7"/>
      <c r="L29" s="7"/>
      <c r="M29" s="7"/>
      <c r="N29" s="7"/>
      <c r="O29" s="7"/>
      <c r="P29" s="7"/>
    </row>
    <row r="30" spans="1:16" s="10" customFormat="1" ht="40" customHeight="1" thickBot="1">
      <c r="A30" s="18" t="s">
        <v>51</v>
      </c>
      <c r="B30" s="159" t="s">
        <v>52</v>
      </c>
      <c r="C30" s="160" t="s">
        <v>53</v>
      </c>
      <c r="D30" s="153" t="s">
        <v>54</v>
      </c>
      <c r="E30" s="149" t="s">
        <v>157</v>
      </c>
      <c r="F30" s="103" t="s">
        <v>158</v>
      </c>
      <c r="G30" s="147" t="s">
        <v>159</v>
      </c>
      <c r="I30" s="286"/>
    </row>
    <row r="31" spans="1:16" ht="20" customHeight="1" thickBot="1">
      <c r="A31" s="154" t="str">
        <f>'BASE PAX'!A6</f>
        <v>BREAKFAST</v>
      </c>
      <c r="B31" s="285">
        <f>(B5*B9*'BASE PAX'!G6)+('BASE PAX'!H6*B6*B9)</f>
        <v>0</v>
      </c>
      <c r="C31" s="121"/>
      <c r="D31" s="144"/>
      <c r="E31" s="283">
        <v>0</v>
      </c>
      <c r="F31" s="122">
        <f t="shared" ref="F31:F46" si="3">B31*C31</f>
        <v>0</v>
      </c>
      <c r="G31" s="325">
        <f>0.2*B31</f>
        <v>0</v>
      </c>
      <c r="H31" s="351" t="str">
        <f>A31</f>
        <v>BREAKFAST</v>
      </c>
      <c r="I31" s="353">
        <f>B31</f>
        <v>0</v>
      </c>
    </row>
    <row r="32" spans="1:16" ht="20" customHeight="1">
      <c r="A32" s="155" t="str">
        <f>'BASE PAX'!A7</f>
        <v>LUNCH 1</v>
      </c>
      <c r="B32" s="74">
        <f>($B$5+$B$6)*'BASE PAX'!B7</f>
        <v>0</v>
      </c>
      <c r="C32" s="123">
        <f>'BASE PAX'!C7</f>
        <v>40000</v>
      </c>
      <c r="D32" s="125">
        <f>'BASE PAX'!D7</f>
        <v>48000</v>
      </c>
      <c r="E32" s="151">
        <f t="shared" ref="E32:E46" si="4">D32*B32</f>
        <v>0</v>
      </c>
      <c r="F32" s="124">
        <f t="shared" si="3"/>
        <v>0</v>
      </c>
      <c r="G32" s="146">
        <f t="shared" ref="G32:G46" si="5">E32-F32</f>
        <v>0</v>
      </c>
      <c r="I32" s="290"/>
    </row>
    <row r="33" spans="1:11" ht="20" customHeight="1">
      <c r="A33" s="155" t="str">
        <f>'BASE PAX'!A8</f>
        <v>LUNCH 2</v>
      </c>
      <c r="B33" s="74">
        <f>($B$5+$B$6)*'BASE PAX'!B8</f>
        <v>0</v>
      </c>
      <c r="C33" s="123">
        <f>'BASE PAX'!C8</f>
        <v>40000</v>
      </c>
      <c r="D33" s="125">
        <f>'BASE PAX'!D8</f>
        <v>48000</v>
      </c>
      <c r="E33" s="151">
        <f t="shared" si="4"/>
        <v>0</v>
      </c>
      <c r="F33" s="124">
        <f t="shared" si="3"/>
        <v>0</v>
      </c>
      <c r="G33" s="146">
        <f t="shared" si="5"/>
        <v>0</v>
      </c>
      <c r="I33" s="290"/>
    </row>
    <row r="34" spans="1:11" ht="20" customHeight="1">
      <c r="A34" s="155" t="str">
        <f>'BASE PAX'!A9</f>
        <v>LUNCH 3</v>
      </c>
      <c r="B34" s="74">
        <f>($B$5+$B$6)*'BASE PAX'!B9</f>
        <v>0</v>
      </c>
      <c r="C34" s="123">
        <f>'BASE PAX'!C9</f>
        <v>40000</v>
      </c>
      <c r="D34" s="125">
        <f>'BASE PAX'!D9</f>
        <v>48000</v>
      </c>
      <c r="E34" s="151">
        <f t="shared" si="4"/>
        <v>0</v>
      </c>
      <c r="F34" s="124">
        <f t="shared" si="3"/>
        <v>0</v>
      </c>
      <c r="G34" s="146">
        <f t="shared" si="5"/>
        <v>0</v>
      </c>
      <c r="I34" s="290"/>
    </row>
    <row r="35" spans="1:11" ht="20" customHeight="1">
      <c r="A35" s="155" t="str">
        <f>'BASE PAX'!A10</f>
        <v>LUNCH 4</v>
      </c>
      <c r="B35" s="74">
        <f>($B$5+$B$6)*'BASE PAX'!B10</f>
        <v>0</v>
      </c>
      <c r="C35" s="123">
        <f>'BASE PAX'!C10</f>
        <v>45000</v>
      </c>
      <c r="D35" s="125">
        <f>'BASE PAX'!D10</f>
        <v>54000</v>
      </c>
      <c r="E35" s="151">
        <f t="shared" si="4"/>
        <v>0</v>
      </c>
      <c r="F35" s="124">
        <f t="shared" si="3"/>
        <v>0</v>
      </c>
      <c r="G35" s="146">
        <f t="shared" si="5"/>
        <v>0</v>
      </c>
      <c r="I35" s="290"/>
    </row>
    <row r="36" spans="1:11" ht="20" customHeight="1">
      <c r="A36" s="155" t="str">
        <f>'BASE PAX'!A11</f>
        <v>LUNCH 5</v>
      </c>
      <c r="B36" s="74">
        <f>($B$5+$B$6)*'BASE PAX'!B11</f>
        <v>0</v>
      </c>
      <c r="C36" s="123">
        <f>'BASE PAX'!C11</f>
        <v>50000</v>
      </c>
      <c r="D36" s="125">
        <f>'BASE PAX'!D11</f>
        <v>60000</v>
      </c>
      <c r="E36" s="151">
        <f t="shared" si="4"/>
        <v>0</v>
      </c>
      <c r="F36" s="124">
        <f t="shared" si="3"/>
        <v>0</v>
      </c>
      <c r="G36" s="146">
        <f t="shared" si="5"/>
        <v>0</v>
      </c>
      <c r="I36" s="290"/>
    </row>
    <row r="37" spans="1:11" ht="20" customHeight="1">
      <c r="A37" s="155" t="str">
        <f>'BASE PAX'!A12</f>
        <v>LUNCH 6</v>
      </c>
      <c r="B37" s="74">
        <f>($B$5+$B$6)*'BASE PAX'!B12</f>
        <v>0</v>
      </c>
      <c r="C37" s="123">
        <f>'BASE PAX'!C12</f>
        <v>0</v>
      </c>
      <c r="D37" s="125">
        <f>'BASE PAX'!D12</f>
        <v>0</v>
      </c>
      <c r="E37" s="151">
        <f t="shared" si="4"/>
        <v>0</v>
      </c>
      <c r="F37" s="124">
        <f t="shared" si="3"/>
        <v>0</v>
      </c>
      <c r="G37" s="146">
        <f t="shared" si="5"/>
        <v>0</v>
      </c>
      <c r="I37" s="290"/>
    </row>
    <row r="38" spans="1:11" ht="20" customHeight="1">
      <c r="A38" s="155" t="str">
        <f>'BASE PAX'!A13</f>
        <v>LUNCH 7</v>
      </c>
      <c r="B38" s="74">
        <f>($B$5+$B$6)*'BASE PAX'!B13</f>
        <v>0</v>
      </c>
      <c r="C38" s="123">
        <f>'BASE PAX'!C13</f>
        <v>5000</v>
      </c>
      <c r="D38" s="125">
        <f>'BASE PAX'!D13</f>
        <v>6000</v>
      </c>
      <c r="E38" s="151">
        <f t="shared" si="4"/>
        <v>0</v>
      </c>
      <c r="F38" s="124">
        <f t="shared" si="3"/>
        <v>0</v>
      </c>
      <c r="G38" s="146">
        <f t="shared" si="5"/>
        <v>0</v>
      </c>
      <c r="I38" s="290"/>
    </row>
    <row r="39" spans="1:11" ht="20" customHeight="1">
      <c r="A39" s="156" t="str">
        <f>'BASE PAX'!A14</f>
        <v>SNACKS</v>
      </c>
      <c r="B39" s="75">
        <f>($B$5+$B$6)*'BASE PAX'!B14</f>
        <v>0</v>
      </c>
      <c r="C39" s="125">
        <f>'BASE PAX'!C14</f>
        <v>8000</v>
      </c>
      <c r="D39" s="145">
        <f>'BASE PAX'!D14</f>
        <v>9600</v>
      </c>
      <c r="E39" s="150">
        <f t="shared" si="4"/>
        <v>0</v>
      </c>
      <c r="F39" s="122">
        <f t="shared" si="3"/>
        <v>0</v>
      </c>
      <c r="G39" s="146">
        <f t="shared" si="5"/>
        <v>0</v>
      </c>
      <c r="I39" s="290"/>
    </row>
    <row r="40" spans="1:11" ht="20" customHeight="1">
      <c r="A40" s="155" t="str">
        <f>'BASE PAX'!A15</f>
        <v>DINNER 1</v>
      </c>
      <c r="B40" s="74">
        <f>($B$5+$B$6)*'BASE PAX'!B15</f>
        <v>0</v>
      </c>
      <c r="C40" s="123">
        <f>'BASE PAX'!C15</f>
        <v>70000</v>
      </c>
      <c r="D40" s="125">
        <f>'BASE PAX'!D15</f>
        <v>84000</v>
      </c>
      <c r="E40" s="151">
        <f t="shared" si="4"/>
        <v>0</v>
      </c>
      <c r="F40" s="124">
        <f t="shared" si="3"/>
        <v>0</v>
      </c>
      <c r="G40" s="146">
        <f t="shared" si="5"/>
        <v>0</v>
      </c>
      <c r="H40" s="287"/>
      <c r="I40" s="291"/>
    </row>
    <row r="41" spans="1:11" ht="20" customHeight="1">
      <c r="A41" s="155" t="str">
        <f>'BASE PAX'!A16</f>
        <v>DINNER 2</v>
      </c>
      <c r="B41" s="74">
        <f>($B$5+$B$6)*'BASE PAX'!B16</f>
        <v>0</v>
      </c>
      <c r="C41" s="123">
        <f>'BASE PAX'!C16</f>
        <v>25000</v>
      </c>
      <c r="D41" s="125">
        <f>'BASE PAX'!D16</f>
        <v>30000</v>
      </c>
      <c r="E41" s="151">
        <f t="shared" si="4"/>
        <v>0</v>
      </c>
      <c r="F41" s="124">
        <f t="shared" si="3"/>
        <v>0</v>
      </c>
      <c r="G41" s="146">
        <f t="shared" si="5"/>
        <v>0</v>
      </c>
      <c r="I41" s="290"/>
    </row>
    <row r="42" spans="1:11" ht="20" customHeight="1">
      <c r="A42" s="155" t="str">
        <f>'BASE PAX'!A17</f>
        <v>DINNER 3</v>
      </c>
      <c r="B42" s="74">
        <f>($B$5+$B$6)*'BASE PAX'!B17</f>
        <v>0</v>
      </c>
      <c r="C42" s="123">
        <f>'BASE PAX'!C17</f>
        <v>50000</v>
      </c>
      <c r="D42" s="125">
        <f>'BASE PAX'!D17</f>
        <v>60000</v>
      </c>
      <c r="E42" s="151">
        <f t="shared" si="4"/>
        <v>0</v>
      </c>
      <c r="F42" s="124">
        <f t="shared" si="3"/>
        <v>0</v>
      </c>
      <c r="G42" s="146">
        <f t="shared" si="5"/>
        <v>0</v>
      </c>
      <c r="I42" s="290"/>
    </row>
    <row r="43" spans="1:11" ht="20" customHeight="1">
      <c r="A43" s="155" t="str">
        <f>'BASE PAX'!A18</f>
        <v>DINNER 4</v>
      </c>
      <c r="B43" s="74">
        <f>($B$5+$B$6)*'BASE PAX'!B18</f>
        <v>0</v>
      </c>
      <c r="C43" s="123">
        <f>'BASE PAX'!C18</f>
        <v>65000</v>
      </c>
      <c r="D43" s="125">
        <f>'BASE PAX'!D18</f>
        <v>78000</v>
      </c>
      <c r="E43" s="151">
        <f t="shared" si="4"/>
        <v>0</v>
      </c>
      <c r="F43" s="124">
        <f t="shared" si="3"/>
        <v>0</v>
      </c>
      <c r="G43" s="146">
        <f t="shared" si="5"/>
        <v>0</v>
      </c>
      <c r="I43" s="9"/>
    </row>
    <row r="44" spans="1:11" ht="20" customHeight="1">
      <c r="A44" s="155" t="str">
        <f>'BASE PAX'!A19</f>
        <v>DINNER 5</v>
      </c>
      <c r="B44" s="74">
        <f>($B$5+$B$6)*'BASE PAX'!B19</f>
        <v>0</v>
      </c>
      <c r="C44" s="123">
        <f>'BASE PAX'!C19</f>
        <v>75000</v>
      </c>
      <c r="D44" s="125">
        <f>'BASE PAX'!D19</f>
        <v>90000</v>
      </c>
      <c r="E44" s="151">
        <f t="shared" si="4"/>
        <v>0</v>
      </c>
      <c r="F44" s="124">
        <f t="shared" si="3"/>
        <v>0</v>
      </c>
      <c r="G44" s="146">
        <f t="shared" si="5"/>
        <v>0</v>
      </c>
      <c r="I44" s="9"/>
    </row>
    <row r="45" spans="1:11" ht="20" customHeight="1">
      <c r="A45" s="155" t="str">
        <f>'BASE PAX'!A20</f>
        <v>DINNER 6</v>
      </c>
      <c r="B45" s="74">
        <f>($B$5+$B$6)*'BASE PAX'!B20</f>
        <v>0</v>
      </c>
      <c r="C45" s="123">
        <f>'BASE PAX'!C20</f>
        <v>0</v>
      </c>
      <c r="D45" s="125">
        <f>'BASE PAX'!D20</f>
        <v>0</v>
      </c>
      <c r="E45" s="151">
        <f t="shared" si="4"/>
        <v>0</v>
      </c>
      <c r="F45" s="124">
        <f t="shared" si="3"/>
        <v>0</v>
      </c>
      <c r="G45" s="146">
        <f t="shared" si="5"/>
        <v>0</v>
      </c>
      <c r="I45" s="9"/>
    </row>
    <row r="46" spans="1:11" ht="20" customHeight="1" thickBot="1">
      <c r="A46" s="155" t="str">
        <f>'BASE PAX'!A21</f>
        <v>DINNER 7</v>
      </c>
      <c r="B46" s="74">
        <f>($B$5+$B$6)*'BASE PAX'!B21</f>
        <v>0</v>
      </c>
      <c r="C46" s="123">
        <f>'BASE PAX'!C21</f>
        <v>75000</v>
      </c>
      <c r="D46" s="125">
        <f>'BASE PAX'!D21</f>
        <v>90000</v>
      </c>
      <c r="E46" s="151">
        <f t="shared" si="4"/>
        <v>0</v>
      </c>
      <c r="F46" s="124">
        <f t="shared" si="3"/>
        <v>0</v>
      </c>
      <c r="G46" s="146">
        <f t="shared" si="5"/>
        <v>0</v>
      </c>
      <c r="I46" s="10"/>
    </row>
    <row r="47" spans="1:11" ht="20" customHeight="1">
      <c r="A47" s="155" t="str">
        <f>'BASE PAX'!A22</f>
        <v>QUANT. TOTAL | PADRAO ALMOÇO</v>
      </c>
      <c r="B47" s="74">
        <f>'BASE PAX'!B22</f>
        <v>0</v>
      </c>
      <c r="C47" s="123"/>
      <c r="D47" s="125"/>
      <c r="E47" s="151"/>
      <c r="F47" s="124"/>
      <c r="G47" s="325">
        <f>0.2*I47</f>
        <v>0</v>
      </c>
      <c r="H47" s="338" t="str">
        <f>A47</f>
        <v>QUANT. TOTAL | PADRAO ALMOÇO</v>
      </c>
      <c r="I47" s="349">
        <f>(B5*B47*'BASE PAX'!G22)+(B6*B47*'BASE PAX'!H22)</f>
        <v>0</v>
      </c>
      <c r="J47" s="328"/>
      <c r="K47" s="329"/>
    </row>
    <row r="48" spans="1:11" ht="20" customHeight="1" thickBot="1">
      <c r="A48" s="163" t="str">
        <f>'BASE PAX'!A23</f>
        <v>QUANT. TOTAL | PADRAO JANTAR</v>
      </c>
      <c r="B48" s="164">
        <f>'BASE PAX'!B23</f>
        <v>0</v>
      </c>
      <c r="C48" s="165"/>
      <c r="D48" s="166"/>
      <c r="E48" s="167"/>
      <c r="F48" s="168"/>
      <c r="G48" s="326">
        <f>0.2*I48</f>
        <v>0</v>
      </c>
      <c r="H48" s="347" t="str">
        <f>A48</f>
        <v>QUANT. TOTAL | PADRAO JANTAR</v>
      </c>
      <c r="I48" s="335">
        <f>(B5*B48*'BASE PAX'!G23)+(B6*B48*'BASE PAX'!H23)</f>
        <v>0</v>
      </c>
      <c r="J48" s="330"/>
      <c r="K48" s="331"/>
    </row>
    <row r="49" spans="1:16" ht="29" customHeight="1" thickBot="1">
      <c r="A49" s="161" t="s">
        <v>72</v>
      </c>
      <c r="B49" s="157"/>
      <c r="C49" s="158"/>
      <c r="D49" s="303"/>
      <c r="E49" s="104">
        <f>SUM(E31:E48)</f>
        <v>0</v>
      </c>
      <c r="F49" s="104">
        <f>SUM(F31:F48)</f>
        <v>0</v>
      </c>
      <c r="G49" s="327">
        <f>SUM(G31:G48)</f>
        <v>0</v>
      </c>
      <c r="H49" s="341" t="s">
        <v>55</v>
      </c>
      <c r="I49" s="342">
        <f>I31+I47+I48</f>
        <v>0</v>
      </c>
      <c r="J49" s="358">
        <f>I49+E49</f>
        <v>0</v>
      </c>
      <c r="K49" s="332" t="s">
        <v>160</v>
      </c>
    </row>
    <row r="50" spans="1:16" s="8" customFormat="1" ht="11" customHeight="1" thickBot="1">
      <c r="A50" s="16"/>
      <c r="B50" s="56"/>
      <c r="C50" s="105"/>
      <c r="D50" s="102"/>
      <c r="E50" s="102"/>
      <c r="F50" s="7"/>
      <c r="G50" s="17"/>
      <c r="H50" s="7"/>
      <c r="I50" s="7"/>
      <c r="J50" s="7"/>
      <c r="K50" s="7"/>
      <c r="L50" s="7"/>
      <c r="M50" s="7"/>
      <c r="N50" s="7"/>
      <c r="O50" s="7"/>
      <c r="P50" s="7"/>
    </row>
    <row r="51" spans="1:16" ht="34" customHeight="1" thickBot="1">
      <c r="A51" s="21" t="s">
        <v>161</v>
      </c>
      <c r="B51" s="207" t="s">
        <v>52</v>
      </c>
      <c r="C51" s="208" t="s">
        <v>53</v>
      </c>
      <c r="D51" s="209" t="s">
        <v>54</v>
      </c>
      <c r="E51" s="172" t="s">
        <v>55</v>
      </c>
      <c r="F51" s="142" t="s">
        <v>158</v>
      </c>
      <c r="G51" s="182" t="s">
        <v>159</v>
      </c>
    </row>
    <row r="52" spans="1:16" ht="20" customHeight="1">
      <c r="A52" s="76" t="str">
        <f>'BASE PAX'!A27</f>
        <v>SUCOS</v>
      </c>
      <c r="B52" s="205">
        <f>'BASE PAX'!B27</f>
        <v>0</v>
      </c>
      <c r="C52" s="193">
        <f>'BASE PAX'!C27</f>
        <v>0</v>
      </c>
      <c r="D52" s="206">
        <f t="shared" ref="D52:D58" si="6">(C52*0.2)+C52</f>
        <v>0</v>
      </c>
      <c r="E52" s="174">
        <f t="shared" ref="E52:E58" si="7">D52*B52</f>
        <v>0</v>
      </c>
      <c r="F52" s="173">
        <f t="shared" ref="F52:F58" si="8">B52*C52</f>
        <v>0</v>
      </c>
      <c r="G52" s="183">
        <f t="shared" ref="G52:G59" si="9">E52-F52</f>
        <v>0</v>
      </c>
    </row>
    <row r="53" spans="1:16" ht="20" customHeight="1">
      <c r="A53" s="76" t="str">
        <f>'BASE PAX'!A28</f>
        <v>SUCOS</v>
      </c>
      <c r="B53" s="205">
        <f>'BASE PAX'!B28</f>
        <v>0</v>
      </c>
      <c r="C53" s="175">
        <f>'BASE PAX'!C28</f>
        <v>0</v>
      </c>
      <c r="D53" s="176">
        <f t="shared" si="6"/>
        <v>0</v>
      </c>
      <c r="E53" s="174">
        <f t="shared" si="7"/>
        <v>0</v>
      </c>
      <c r="F53" s="173">
        <f t="shared" si="8"/>
        <v>0</v>
      </c>
      <c r="G53" s="183">
        <f t="shared" si="9"/>
        <v>0</v>
      </c>
    </row>
    <row r="54" spans="1:16" ht="20" customHeight="1">
      <c r="A54" s="87" t="str">
        <f>'BASE PAX'!A29</f>
        <v>CERVEJAS</v>
      </c>
      <c r="B54" s="205">
        <f>'BASE PAX'!B29</f>
        <v>0</v>
      </c>
      <c r="C54" s="175">
        <f>'BASE PAX'!C29</f>
        <v>2000</v>
      </c>
      <c r="D54" s="176">
        <f t="shared" si="6"/>
        <v>2400</v>
      </c>
      <c r="E54" s="174">
        <f t="shared" si="7"/>
        <v>0</v>
      </c>
      <c r="F54" s="173">
        <f t="shared" si="8"/>
        <v>0</v>
      </c>
      <c r="G54" s="183">
        <f t="shared" si="9"/>
        <v>0</v>
      </c>
    </row>
    <row r="55" spans="1:16" ht="20" customHeight="1">
      <c r="A55" s="87" t="str">
        <f>'BASE PAX'!A30</f>
        <v>VINHOS</v>
      </c>
      <c r="B55" s="205">
        <f>'BASE PAX'!B30</f>
        <v>0</v>
      </c>
      <c r="C55" s="175">
        <f>'BASE PAX'!C30</f>
        <v>8000</v>
      </c>
      <c r="D55" s="176">
        <f t="shared" si="6"/>
        <v>9600</v>
      </c>
      <c r="E55" s="174">
        <f t="shared" si="7"/>
        <v>0</v>
      </c>
      <c r="F55" s="173">
        <f t="shared" si="8"/>
        <v>0</v>
      </c>
      <c r="G55" s="183">
        <f t="shared" si="9"/>
        <v>0</v>
      </c>
    </row>
    <row r="56" spans="1:16" ht="20" customHeight="1">
      <c r="A56" s="87" t="str">
        <f>'BASE PAX'!A31</f>
        <v>DRINKS</v>
      </c>
      <c r="B56" s="205">
        <f>'BASE PAX'!B31</f>
        <v>0</v>
      </c>
      <c r="C56" s="175">
        <f>'BASE PAX'!C31</f>
        <v>15000</v>
      </c>
      <c r="D56" s="176">
        <f t="shared" si="6"/>
        <v>18000</v>
      </c>
      <c r="E56" s="174">
        <f t="shared" si="7"/>
        <v>0</v>
      </c>
      <c r="F56" s="173">
        <f t="shared" si="8"/>
        <v>0</v>
      </c>
      <c r="G56" s="183">
        <f t="shared" si="9"/>
        <v>0</v>
      </c>
    </row>
    <row r="57" spans="1:16" ht="20" customHeight="1">
      <c r="A57" s="87" t="str">
        <f>'BASE PAX'!A32</f>
        <v>COOLER</v>
      </c>
      <c r="B57" s="205">
        <f>'BASE PAX'!B32</f>
        <v>0</v>
      </c>
      <c r="C57" s="175">
        <f>'BASE PAX'!C32</f>
        <v>5000</v>
      </c>
      <c r="D57" s="176">
        <f t="shared" si="6"/>
        <v>6000</v>
      </c>
      <c r="E57" s="174">
        <f t="shared" si="7"/>
        <v>0</v>
      </c>
      <c r="F57" s="173">
        <f t="shared" si="8"/>
        <v>0</v>
      </c>
      <c r="G57" s="183">
        <f t="shared" si="9"/>
        <v>0</v>
      </c>
    </row>
    <row r="58" spans="1:16" ht="20" customHeight="1" thickBot="1">
      <c r="A58" s="180">
        <f>'BASE PAX'!A33</f>
        <v>0</v>
      </c>
      <c r="B58" s="205">
        <f>'BASE PAX'!B33</f>
        <v>0</v>
      </c>
      <c r="C58" s="178">
        <f>'BASE PAX'!C33</f>
        <v>0</v>
      </c>
      <c r="D58" s="179">
        <f t="shared" si="6"/>
        <v>0</v>
      </c>
      <c r="E58" s="184">
        <f t="shared" si="7"/>
        <v>0</v>
      </c>
      <c r="F58" s="185">
        <f t="shared" si="8"/>
        <v>0</v>
      </c>
      <c r="G58" s="186">
        <f t="shared" si="9"/>
        <v>0</v>
      </c>
    </row>
    <row r="59" spans="1:16" ht="48" customHeight="1" thickBot="1">
      <c r="A59" s="21" t="s">
        <v>79</v>
      </c>
      <c r="B59" s="77"/>
      <c r="C59" s="126"/>
      <c r="D59" s="181"/>
      <c r="E59" s="127">
        <f>SUM(E52:E58)</f>
        <v>0</v>
      </c>
      <c r="F59" s="188">
        <f>SUM(F52:F58)</f>
        <v>0</v>
      </c>
      <c r="G59" s="189">
        <f t="shared" si="9"/>
        <v>0</v>
      </c>
    </row>
    <row r="60" spans="1:16" s="8" customFormat="1" ht="11" customHeight="1" thickBot="1">
      <c r="A60" s="16"/>
      <c r="B60" s="56"/>
      <c r="C60" s="105"/>
      <c r="D60" s="102"/>
      <c r="E60" s="102"/>
      <c r="F60" s="7"/>
      <c r="G60" s="17"/>
      <c r="H60" s="7"/>
      <c r="I60" s="7"/>
      <c r="J60" s="7"/>
      <c r="K60" s="7"/>
      <c r="L60" s="7"/>
      <c r="M60" s="7"/>
      <c r="N60" s="7"/>
      <c r="O60" s="7"/>
      <c r="P60" s="7"/>
    </row>
    <row r="61" spans="1:16" s="10" customFormat="1" ht="42" customHeight="1" thickBot="1">
      <c r="A61" s="226" t="s">
        <v>18</v>
      </c>
      <c r="B61" s="227" t="s">
        <v>52</v>
      </c>
      <c r="C61" s="228" t="s">
        <v>53</v>
      </c>
      <c r="D61" s="229" t="s">
        <v>54</v>
      </c>
      <c r="E61" s="229" t="s">
        <v>55</v>
      </c>
      <c r="F61" s="228" t="s">
        <v>158</v>
      </c>
      <c r="G61" s="230" t="s">
        <v>159</v>
      </c>
    </row>
    <row r="62" spans="1:16" ht="20" customHeight="1">
      <c r="A62" s="223" t="str">
        <f>'BASE PAX'!A37</f>
        <v>HOTTUBE</v>
      </c>
      <c r="B62" s="224">
        <f>'BASE PAX'!B37</f>
        <v>0</v>
      </c>
      <c r="C62" s="195">
        <f>'BASE PAX'!C37</f>
        <v>12000</v>
      </c>
      <c r="D62" s="225">
        <f t="shared" ref="D62:D71" si="10">C62*0.2+C62</f>
        <v>14400</v>
      </c>
      <c r="E62" s="225">
        <f t="shared" ref="E62:E71" si="11">D62*B62</f>
        <v>0</v>
      </c>
      <c r="F62" s="195">
        <f t="shared" ref="F62:F72" si="12">B62*C62</f>
        <v>0</v>
      </c>
      <c r="G62" s="194">
        <f t="shared" ref="G62:G72" si="13">E62-F62</f>
        <v>0</v>
      </c>
    </row>
    <row r="63" spans="1:16" ht="20" customHeight="1">
      <c r="A63" s="219" t="str">
        <f>'BASE PAX'!A38</f>
        <v>TREKKING 1/2 DAY</v>
      </c>
      <c r="B63" s="224">
        <f>'BASE PAX'!B38</f>
        <v>0</v>
      </c>
      <c r="C63" s="196">
        <f>'BASE PAX'!C38</f>
        <v>60000</v>
      </c>
      <c r="D63" s="220">
        <f t="shared" si="10"/>
        <v>72000</v>
      </c>
      <c r="E63" s="220">
        <f t="shared" si="11"/>
        <v>0</v>
      </c>
      <c r="F63" s="196">
        <f t="shared" si="12"/>
        <v>0</v>
      </c>
      <c r="G63" s="190">
        <f t="shared" si="13"/>
        <v>0</v>
      </c>
    </row>
    <row r="64" spans="1:16" ht="20" customHeight="1">
      <c r="A64" s="219" t="str">
        <f>'BASE PAX'!A39</f>
        <v>TREKKING FUK DAY</v>
      </c>
      <c r="B64" s="224">
        <f>'BASE PAX'!B39</f>
        <v>0</v>
      </c>
      <c r="C64" s="196">
        <f>'BASE PAX'!C39</f>
        <v>90000</v>
      </c>
      <c r="D64" s="220">
        <f t="shared" si="10"/>
        <v>108000</v>
      </c>
      <c r="E64" s="220">
        <f t="shared" si="11"/>
        <v>0</v>
      </c>
      <c r="F64" s="196">
        <f t="shared" si="12"/>
        <v>0</v>
      </c>
      <c r="G64" s="190">
        <f t="shared" si="13"/>
        <v>0</v>
      </c>
    </row>
    <row r="65" spans="1:16" ht="20" customHeight="1">
      <c r="A65" s="219" t="str">
        <f>'BASE PAX'!A40</f>
        <v>FLOTADA FAMILIAR</v>
      </c>
      <c r="B65" s="224">
        <f>'BASE PAX'!B40</f>
        <v>0</v>
      </c>
      <c r="C65" s="196">
        <f>'BASE PAX'!C40</f>
        <v>60000</v>
      </c>
      <c r="D65" s="220">
        <f t="shared" si="10"/>
        <v>72000</v>
      </c>
      <c r="E65" s="220">
        <f t="shared" si="11"/>
        <v>0</v>
      </c>
      <c r="F65" s="196">
        <f t="shared" si="12"/>
        <v>0</v>
      </c>
      <c r="G65" s="190">
        <f t="shared" si="13"/>
        <v>0</v>
      </c>
    </row>
    <row r="66" spans="1:16" ht="20" customHeight="1">
      <c r="A66" s="219" t="str">
        <f>'BASE PAX'!A41</f>
        <v>RAFTING 1/2 DAY</v>
      </c>
      <c r="B66" s="224">
        <f>'BASE PAX'!B41</f>
        <v>0</v>
      </c>
      <c r="C66" s="196">
        <f>'BASE PAX'!C41</f>
        <v>75000</v>
      </c>
      <c r="D66" s="220">
        <f t="shared" si="10"/>
        <v>90000</v>
      </c>
      <c r="E66" s="220">
        <f t="shared" si="11"/>
        <v>0</v>
      </c>
      <c r="F66" s="196">
        <f t="shared" si="12"/>
        <v>0</v>
      </c>
      <c r="G66" s="190">
        <f t="shared" si="13"/>
        <v>0</v>
      </c>
    </row>
    <row r="67" spans="1:16" ht="20" customHeight="1">
      <c r="A67" s="219" t="str">
        <f>'BASE PAX'!A42</f>
        <v>RAFTING FULL DAY</v>
      </c>
      <c r="B67" s="224">
        <f>'BASE PAX'!B42</f>
        <v>0</v>
      </c>
      <c r="C67" s="196">
        <f>'BASE PAX'!C42</f>
        <v>110000</v>
      </c>
      <c r="D67" s="220">
        <f t="shared" si="10"/>
        <v>132000</v>
      </c>
      <c r="E67" s="220">
        <f t="shared" si="11"/>
        <v>0</v>
      </c>
      <c r="F67" s="196">
        <f t="shared" si="12"/>
        <v>0</v>
      </c>
      <c r="G67" s="190">
        <f t="shared" si="13"/>
        <v>0</v>
      </c>
    </row>
    <row r="68" spans="1:16" ht="20" customHeight="1">
      <c r="A68" s="219" t="str">
        <f>'BASE PAX'!A43</f>
        <v>CABALGADA 1/2 DAy</v>
      </c>
      <c r="B68" s="224">
        <f>'BASE PAX'!B43</f>
        <v>0</v>
      </c>
      <c r="C68" s="196">
        <f>'BASE PAX'!C43</f>
        <v>90000</v>
      </c>
      <c r="D68" s="220">
        <f t="shared" si="10"/>
        <v>108000</v>
      </c>
      <c r="E68" s="220">
        <f t="shared" si="11"/>
        <v>0</v>
      </c>
      <c r="F68" s="196">
        <f t="shared" si="12"/>
        <v>0</v>
      </c>
      <c r="G68" s="190">
        <f t="shared" si="13"/>
        <v>0</v>
      </c>
    </row>
    <row r="69" spans="1:16" ht="20" customHeight="1">
      <c r="A69" s="219" t="str">
        <f>'BASE PAX'!A44</f>
        <v>CABALGADA FULL DAY</v>
      </c>
      <c r="B69" s="224">
        <f>'BASE PAX'!B44</f>
        <v>0</v>
      </c>
      <c r="C69" s="196">
        <f>'BASE PAX'!C44</f>
        <v>140000</v>
      </c>
      <c r="D69" s="220">
        <f t="shared" si="10"/>
        <v>168000</v>
      </c>
      <c r="E69" s="220">
        <f t="shared" si="11"/>
        <v>0</v>
      </c>
      <c r="F69" s="196">
        <f t="shared" si="12"/>
        <v>0</v>
      </c>
      <c r="G69" s="190">
        <f t="shared" si="13"/>
        <v>0</v>
      </c>
    </row>
    <row r="70" spans="1:16" ht="20" customHeight="1">
      <c r="A70" s="219" t="str">
        <f>'BASE PAX'!A45</f>
        <v>LANCHA YELCHO</v>
      </c>
      <c r="B70" s="224">
        <f>'BASE PAX'!B45</f>
        <v>0</v>
      </c>
      <c r="C70" s="196">
        <f>'BASE PAX'!C45</f>
        <v>120000</v>
      </c>
      <c r="D70" s="220">
        <f t="shared" si="10"/>
        <v>144000</v>
      </c>
      <c r="E70" s="220">
        <f t="shared" si="11"/>
        <v>0</v>
      </c>
      <c r="F70" s="196">
        <f t="shared" si="12"/>
        <v>0</v>
      </c>
      <c r="G70" s="190">
        <f t="shared" si="13"/>
        <v>0</v>
      </c>
    </row>
    <row r="71" spans="1:16" ht="20" customHeight="1" thickBot="1">
      <c r="A71" s="221" t="str">
        <f>'BASE PAX'!A46</f>
        <v>RECREACAO INFANTIL 3HS</v>
      </c>
      <c r="B71" s="224">
        <f>'BASE PAX'!B46</f>
        <v>0</v>
      </c>
      <c r="C71" s="197">
        <f>'BASE PAX'!C46</f>
        <v>30000</v>
      </c>
      <c r="D71" s="220">
        <f t="shared" si="10"/>
        <v>36000</v>
      </c>
      <c r="E71" s="222">
        <f t="shared" si="11"/>
        <v>0</v>
      </c>
      <c r="F71" s="197">
        <f t="shared" si="12"/>
        <v>0</v>
      </c>
      <c r="G71" s="192">
        <f t="shared" si="13"/>
        <v>0</v>
      </c>
    </row>
    <row r="72" spans="1:16" ht="48" customHeight="1" thickBot="1">
      <c r="A72" s="22" t="s">
        <v>84</v>
      </c>
      <c r="B72" s="79"/>
      <c r="C72" s="128"/>
      <c r="D72" s="128"/>
      <c r="E72" s="198">
        <f>SUM(E62:E71)</f>
        <v>0</v>
      </c>
      <c r="F72" s="204">
        <f t="shared" si="12"/>
        <v>0</v>
      </c>
      <c r="G72" s="203">
        <f t="shared" si="13"/>
        <v>0</v>
      </c>
    </row>
    <row r="73" spans="1:16" ht="37" customHeight="1" thickBot="1"/>
    <row r="74" spans="1:16" s="8" customFormat="1" ht="36" customHeight="1" thickBot="1">
      <c r="A74" s="23" t="s">
        <v>116</v>
      </c>
      <c r="B74" s="214" t="s">
        <v>52</v>
      </c>
      <c r="C74" s="215" t="s">
        <v>53</v>
      </c>
      <c r="D74" s="153" t="s">
        <v>54</v>
      </c>
      <c r="E74" s="153" t="s">
        <v>55</v>
      </c>
      <c r="F74" s="143" t="s">
        <v>162</v>
      </c>
      <c r="G74" s="147" t="s">
        <v>159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 ht="20" customHeight="1">
      <c r="A75" s="88" t="str">
        <f>'BASE PAX'!A50</f>
        <v>TRANSFER AEROPORTO CHEGADA</v>
      </c>
      <c r="B75" s="211">
        <f>'BASE PAX'!B50</f>
        <v>0</v>
      </c>
      <c r="C75" s="213">
        <f>'BASE PAX'!C50</f>
        <v>80000</v>
      </c>
      <c r="D75" s="231">
        <f>C75*0.2+C75</f>
        <v>96000</v>
      </c>
      <c r="E75" s="231">
        <f>D75*B75</f>
        <v>0</v>
      </c>
      <c r="F75" s="210">
        <f>B75*C75</f>
        <v>0</v>
      </c>
      <c r="G75" s="199">
        <f t="shared" ref="G75:G80" si="14">E75-F75</f>
        <v>0</v>
      </c>
    </row>
    <row r="76" spans="1:16" ht="20" customHeight="1">
      <c r="A76" s="88" t="str">
        <f>'BASE PAX'!A51</f>
        <v>TRANSFER AEROPORTO PARTIDA</v>
      </c>
      <c r="B76" s="211">
        <f>'BASE PAX'!B51</f>
        <v>0</v>
      </c>
      <c r="C76" s="212">
        <f>'BASE PAX'!C51</f>
        <v>80000</v>
      </c>
      <c r="D76" s="232">
        <f>C76*0.2+C76</f>
        <v>96000</v>
      </c>
      <c r="E76" s="232">
        <f>D76*B76</f>
        <v>0</v>
      </c>
      <c r="F76" s="210">
        <f>B76*C76</f>
        <v>0</v>
      </c>
      <c r="G76" s="200">
        <f t="shared" si="14"/>
        <v>0</v>
      </c>
    </row>
    <row r="77" spans="1:16" ht="20" customHeight="1">
      <c r="A77" s="88" t="str">
        <f>'BASE PAX'!A52</f>
        <v>TRANSFERS INTERNO</v>
      </c>
      <c r="B77" s="211">
        <f>'BASE PAX'!B52</f>
        <v>0</v>
      </c>
      <c r="C77" s="212">
        <f>'BASE PAX'!C52</f>
        <v>18000</v>
      </c>
      <c r="D77" s="232">
        <f>C77*0.2+C77</f>
        <v>21600</v>
      </c>
      <c r="E77" s="232">
        <f>D77*B77</f>
        <v>0</v>
      </c>
      <c r="F77" s="210">
        <f>B77*C77</f>
        <v>0</v>
      </c>
      <c r="G77" s="200">
        <f t="shared" si="14"/>
        <v>0</v>
      </c>
    </row>
    <row r="78" spans="1:16" ht="20" customHeight="1">
      <c r="A78" s="88" t="str">
        <f>'BASE PAX'!A53</f>
        <v>EXTRAS 1</v>
      </c>
      <c r="B78" s="211">
        <f>'BASE PAX'!B53</f>
        <v>0</v>
      </c>
      <c r="C78" s="212">
        <f>'BASE PAX'!C53</f>
        <v>150000</v>
      </c>
      <c r="D78" s="232">
        <f>C78*0.2+C78</f>
        <v>180000</v>
      </c>
      <c r="E78" s="232">
        <f>D78*B78</f>
        <v>0</v>
      </c>
      <c r="F78" s="210">
        <f>B78*C78</f>
        <v>0</v>
      </c>
      <c r="G78" s="200">
        <f t="shared" si="14"/>
        <v>0</v>
      </c>
    </row>
    <row r="79" spans="1:16" ht="20" customHeight="1" thickBot="1">
      <c r="A79" s="218" t="str">
        <f>'BASE PAX'!A54</f>
        <v>EXTRAS 2</v>
      </c>
      <c r="B79" s="211">
        <f>'BASE PAX'!B54</f>
        <v>0</v>
      </c>
      <c r="C79" s="216">
        <f>'BASE PAX'!C54</f>
        <v>0</v>
      </c>
      <c r="D79" s="233">
        <f>C79*0.2+C79</f>
        <v>0</v>
      </c>
      <c r="E79" s="233">
        <f>D79*B79</f>
        <v>0</v>
      </c>
      <c r="F79" s="217">
        <f>B79*C79</f>
        <v>0</v>
      </c>
      <c r="G79" s="201">
        <f t="shared" si="14"/>
        <v>0</v>
      </c>
    </row>
    <row r="80" spans="1:16" ht="44" customHeight="1" thickBot="1">
      <c r="A80" s="23" t="s">
        <v>89</v>
      </c>
      <c r="B80" s="80"/>
      <c r="C80" s="130"/>
      <c r="D80" s="130"/>
      <c r="E80" s="131">
        <f>SUM(E75:E79)</f>
        <v>0</v>
      </c>
      <c r="F80" s="131">
        <f>SUM(F75:F79)</f>
        <v>0</v>
      </c>
      <c r="G80" s="203">
        <f t="shared" si="14"/>
        <v>0</v>
      </c>
    </row>
    <row r="81" spans="1:16" s="8" customFormat="1" ht="11" customHeight="1" thickBot="1">
      <c r="A81" s="16"/>
      <c r="B81" s="56"/>
      <c r="C81" s="105"/>
      <c r="D81" s="102"/>
      <c r="E81" s="102"/>
      <c r="F81" s="7"/>
      <c r="G81" s="17"/>
      <c r="H81" s="7"/>
      <c r="I81" s="7"/>
      <c r="J81" s="7"/>
      <c r="K81" s="7"/>
      <c r="L81" s="7"/>
      <c r="M81" s="7"/>
      <c r="N81" s="7"/>
      <c r="O81" s="7"/>
      <c r="P81" s="7"/>
    </row>
    <row r="82" spans="1:16" s="9" customFormat="1" ht="42" customHeight="1" thickBot="1">
      <c r="A82" s="246" t="s">
        <v>117</v>
      </c>
      <c r="B82" s="247" t="s">
        <v>52</v>
      </c>
      <c r="C82" s="248" t="s">
        <v>53</v>
      </c>
      <c r="D82" s="249" t="s">
        <v>54</v>
      </c>
      <c r="E82" s="249" t="s">
        <v>55</v>
      </c>
      <c r="F82" s="248" t="s">
        <v>162</v>
      </c>
      <c r="G82" s="147" t="s">
        <v>159</v>
      </c>
    </row>
    <row r="83" spans="1:16" ht="20" customHeight="1">
      <c r="A83" s="81" t="str">
        <f>'BASE PAX'!A58</f>
        <v>WS INSTRUCTOR</v>
      </c>
      <c r="B83" s="238">
        <f>'BASE PAX'!B58</f>
        <v>0</v>
      </c>
      <c r="C83" s="239">
        <f>'BASE PAX'!C58</f>
        <v>3415000</v>
      </c>
      <c r="D83" s="240">
        <f>(C83*0.15)+C83</f>
        <v>3927250</v>
      </c>
      <c r="E83" s="240">
        <f>D83*B83</f>
        <v>0</v>
      </c>
      <c r="F83" s="234">
        <f>B83*C83</f>
        <v>0</v>
      </c>
      <c r="G83" s="199">
        <f>E83-F83</f>
        <v>0</v>
      </c>
    </row>
    <row r="84" spans="1:16" ht="20" customHeight="1">
      <c r="A84" s="81" t="str">
        <f>'BASE PAX'!A59</f>
        <v>PRODUCER FEE</v>
      </c>
      <c r="B84" s="235">
        <f>'BASE PAX'!B59</f>
        <v>0</v>
      </c>
      <c r="C84" s="236">
        <f>'BASE PAX'!C59</f>
        <v>180000</v>
      </c>
      <c r="D84" s="237">
        <f>(C84*0.15)+C84</f>
        <v>207000</v>
      </c>
      <c r="E84" s="237">
        <f>D84*B84</f>
        <v>0</v>
      </c>
      <c r="F84" s="234">
        <f>B84*C84</f>
        <v>0</v>
      </c>
      <c r="G84" s="200">
        <f>E84-F84</f>
        <v>0</v>
      </c>
    </row>
    <row r="85" spans="1:16" ht="20" customHeight="1" thickBot="1">
      <c r="A85" s="241">
        <f>'BASE PAX'!A60</f>
        <v>0</v>
      </c>
      <c r="B85" s="242">
        <f>'BASE PAX'!B60</f>
        <v>0</v>
      </c>
      <c r="C85" s="243">
        <f>'BASE PAX'!C60</f>
        <v>20000</v>
      </c>
      <c r="D85" s="244">
        <f>(C85*0.15)+C85</f>
        <v>23000</v>
      </c>
      <c r="E85" s="244">
        <f>D85*B85</f>
        <v>0</v>
      </c>
      <c r="F85" s="245">
        <f>B85*C85</f>
        <v>0</v>
      </c>
      <c r="G85" s="201">
        <f>E85-F85</f>
        <v>0</v>
      </c>
    </row>
    <row r="86" spans="1:16" ht="41" customHeight="1" thickBot="1">
      <c r="A86" s="24" t="s">
        <v>163</v>
      </c>
      <c r="B86" s="82"/>
      <c r="C86" s="132"/>
      <c r="D86" s="132"/>
      <c r="E86" s="133">
        <f>SUM(E83:E85)</f>
        <v>0</v>
      </c>
      <c r="F86" s="133">
        <f>SUM(F81:F85)</f>
        <v>0</v>
      </c>
      <c r="G86" s="203">
        <f>E86-F86</f>
        <v>0</v>
      </c>
    </row>
    <row r="87" spans="1:16" s="8" customFormat="1" ht="11" customHeight="1" thickBot="1">
      <c r="A87" s="16"/>
      <c r="B87" s="56"/>
      <c r="C87" s="105"/>
      <c r="D87" s="102"/>
      <c r="E87" s="102"/>
      <c r="F87" s="7"/>
      <c r="G87" s="17"/>
      <c r="H87" s="7"/>
      <c r="I87" s="7"/>
      <c r="J87" s="7"/>
      <c r="K87" s="7"/>
      <c r="L87" s="7"/>
      <c r="M87" s="7"/>
      <c r="N87" s="7"/>
      <c r="O87" s="7"/>
      <c r="P87" s="7"/>
    </row>
    <row r="88" spans="1:16" ht="38" customHeight="1" thickBot="1">
      <c r="A88" s="258" t="s">
        <v>164</v>
      </c>
      <c r="B88" s="259" t="s">
        <v>92</v>
      </c>
      <c r="C88" s="250" t="s">
        <v>53</v>
      </c>
      <c r="D88" s="260" t="s">
        <v>54</v>
      </c>
      <c r="E88" s="260" t="s">
        <v>55</v>
      </c>
      <c r="F88" s="250"/>
      <c r="G88" s="147" t="s">
        <v>159</v>
      </c>
    </row>
    <row r="89" spans="1:16" ht="20" customHeight="1">
      <c r="A89" s="255" t="str">
        <f>'BASE PAX'!A64</f>
        <v>COORDENAÇÃO PRODUÇÃO</v>
      </c>
      <c r="B89" s="256">
        <f>'BASE PAX'!B64</f>
        <v>0</v>
      </c>
      <c r="C89" s="257">
        <f>'BASE PAX'!C64</f>
        <v>50000</v>
      </c>
      <c r="D89" s="257">
        <f>'BASE PAX'!D64</f>
        <v>0</v>
      </c>
      <c r="E89" s="121">
        <f>D89*B89</f>
        <v>0</v>
      </c>
      <c r="F89" s="257"/>
      <c r="G89" s="199">
        <f t="shared" ref="G89:G94" si="15">E89*0.2</f>
        <v>0</v>
      </c>
    </row>
    <row r="90" spans="1:16" ht="20" customHeight="1">
      <c r="A90" s="251" t="str">
        <f>'BASE PAX'!A65</f>
        <v>EXTRA MÃO DE OBRA</v>
      </c>
      <c r="B90" s="256">
        <f>'BASE PAX'!B65</f>
        <v>0</v>
      </c>
      <c r="C90" s="253">
        <f>'BASE PAX'!C65</f>
        <v>50000</v>
      </c>
      <c r="D90" s="253">
        <f>'BASE PAX'!D65</f>
        <v>0</v>
      </c>
      <c r="E90" s="121">
        <f t="shared" ref="E90:E94" si="16">D90*B90</f>
        <v>0</v>
      </c>
      <c r="F90" s="253"/>
      <c r="G90" s="199">
        <f t="shared" si="15"/>
        <v>0</v>
      </c>
    </row>
    <row r="91" spans="1:16" ht="20" customHeight="1">
      <c r="A91" s="251" t="str">
        <f>'BASE PAX'!A66</f>
        <v>TAXA LIMPEZA CHECK IN / CHECKOUT</v>
      </c>
      <c r="B91" s="252">
        <f>'BASE PAX'!B66</f>
        <v>0</v>
      </c>
      <c r="C91" s="253">
        <f>'BASE PAX'!C66</f>
        <v>40000</v>
      </c>
      <c r="D91" s="253">
        <f>'BASE PAX'!D66</f>
        <v>0</v>
      </c>
      <c r="E91" s="121">
        <f t="shared" si="16"/>
        <v>0</v>
      </c>
      <c r="F91" s="253"/>
      <c r="G91" s="199">
        <f t="shared" si="15"/>
        <v>0</v>
      </c>
    </row>
    <row r="92" spans="1:16" ht="20" customHeight="1">
      <c r="A92" s="251" t="str">
        <f>'BASE PAX'!A67</f>
        <v>TAXA LIMPEZA DIARIA</v>
      </c>
      <c r="B92" s="254">
        <f>'BASE PAX'!B67</f>
        <v>0</v>
      </c>
      <c r="C92" s="253">
        <f>'BASE PAX'!C67</f>
        <v>30000</v>
      </c>
      <c r="D92" s="253">
        <f>'BASE PAX'!D67</f>
        <v>0</v>
      </c>
      <c r="E92" s="121">
        <f t="shared" si="16"/>
        <v>0</v>
      </c>
      <c r="F92" s="253"/>
      <c r="G92" s="199">
        <f t="shared" si="15"/>
        <v>0</v>
      </c>
    </row>
    <row r="93" spans="1:16" ht="20" customHeight="1">
      <c r="A93" s="251" t="str">
        <f>'BASE PAX'!A68</f>
        <v>SOUVENIR</v>
      </c>
      <c r="B93" s="252">
        <f>'BASE PAX'!B68</f>
        <v>0</v>
      </c>
      <c r="C93" s="253">
        <f>'BASE PAX'!C68</f>
        <v>15000</v>
      </c>
      <c r="D93" s="253">
        <f>'BASE PAX'!D68</f>
        <v>0</v>
      </c>
      <c r="E93" s="121">
        <f t="shared" si="16"/>
        <v>0</v>
      </c>
      <c r="F93" s="253"/>
      <c r="G93" s="199">
        <f t="shared" si="15"/>
        <v>0</v>
      </c>
    </row>
    <row r="94" spans="1:16" ht="20" customHeight="1" thickBot="1">
      <c r="A94" s="251" t="str">
        <f>'BASE PAX'!A69</f>
        <v>ASSISTENTE COORDENAÇÃO</v>
      </c>
      <c r="B94" s="256">
        <f>'BASE PAX'!B69</f>
        <v>0</v>
      </c>
      <c r="C94" s="253">
        <f>'BASE PAX'!C69</f>
        <v>30000</v>
      </c>
      <c r="D94" s="253">
        <f>'BASE PAX'!D69</f>
        <v>0</v>
      </c>
      <c r="E94" s="121">
        <f t="shared" si="16"/>
        <v>0</v>
      </c>
      <c r="F94" s="253"/>
      <c r="G94" s="199">
        <f t="shared" si="15"/>
        <v>0</v>
      </c>
    </row>
    <row r="95" spans="1:16" ht="41" customHeight="1" thickBot="1">
      <c r="A95" s="25" t="s">
        <v>101</v>
      </c>
      <c r="B95" s="83"/>
      <c r="C95" s="134"/>
      <c r="D95" s="134"/>
      <c r="E95" s="135">
        <f>SUM(E89:E94)</f>
        <v>0</v>
      </c>
      <c r="F95" s="135"/>
      <c r="G95" s="203">
        <f>SUM(G89:G94)</f>
        <v>0</v>
      </c>
    </row>
    <row r="96" spans="1:16" s="8" customFormat="1" ht="11" customHeight="1" thickBot="1">
      <c r="A96" s="16"/>
      <c r="B96" s="56"/>
      <c r="C96" s="105"/>
      <c r="D96" s="102"/>
      <c r="E96" s="102"/>
      <c r="F96" s="7"/>
      <c r="G96" s="17"/>
      <c r="H96" s="7"/>
      <c r="I96" s="7"/>
      <c r="J96" s="7"/>
      <c r="K96" s="7"/>
      <c r="L96" s="7"/>
      <c r="M96" s="7"/>
      <c r="N96" s="7"/>
      <c r="O96" s="7"/>
      <c r="P96" s="7"/>
    </row>
    <row r="97" spans="1:16" ht="38" customHeight="1" thickBot="1">
      <c r="A97" s="26" t="s">
        <v>165</v>
      </c>
      <c r="B97" s="27" t="s">
        <v>92</v>
      </c>
      <c r="C97" s="136" t="s">
        <v>53</v>
      </c>
      <c r="D97" s="136" t="s">
        <v>54</v>
      </c>
      <c r="E97" s="137" t="s">
        <v>55</v>
      </c>
      <c r="F97" s="20"/>
      <c r="G97" s="20"/>
    </row>
    <row r="98" spans="1:16" ht="23" customHeight="1" thickBot="1">
      <c r="A98" s="84" t="str">
        <f>'BASE PAX'!A73</f>
        <v xml:space="preserve">QUINCHO DAY USE / CABIN </v>
      </c>
      <c r="B98" s="85">
        <f>'BASE PAX'!B73</f>
        <v>0</v>
      </c>
      <c r="C98" s="138">
        <f>'BASE PAX'!C73</f>
        <v>15000</v>
      </c>
      <c r="D98" s="138">
        <f>C98+(C98*0.2)</f>
        <v>18000</v>
      </c>
      <c r="E98" s="139">
        <f>D98*B98</f>
        <v>0</v>
      </c>
      <c r="F98" s="19"/>
      <c r="G98" s="17"/>
    </row>
    <row r="99" spans="1:16" ht="42" customHeight="1" thickBot="1">
      <c r="A99" s="26" t="s">
        <v>104</v>
      </c>
      <c r="B99" s="86"/>
      <c r="C99" s="140"/>
      <c r="D99" s="140"/>
      <c r="E99" s="141">
        <f>E98</f>
        <v>0</v>
      </c>
    </row>
    <row r="100" spans="1:16" s="6" customFormat="1" ht="20" customHeight="1">
      <c r="A100" s="28"/>
      <c r="B100" s="52"/>
      <c r="C100" s="11"/>
      <c r="D100" s="11"/>
      <c r="E100" s="11"/>
      <c r="F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9" customHeight="1"/>
  </sheetData>
  <sheetProtection sheet="1" objects="1" scenarios="1"/>
  <mergeCells count="17">
    <mergeCell ref="A11:A12"/>
    <mergeCell ref="A28:D28"/>
    <mergeCell ref="B5:C5"/>
    <mergeCell ref="F20:F21"/>
    <mergeCell ref="B11:B12"/>
    <mergeCell ref="D11:D12"/>
    <mergeCell ref="B9:C9"/>
    <mergeCell ref="D9:E9"/>
    <mergeCell ref="B8:C8"/>
    <mergeCell ref="D8:E8"/>
    <mergeCell ref="D6:E6"/>
    <mergeCell ref="B6:C6"/>
    <mergeCell ref="I11:K11"/>
    <mergeCell ref="D7:E7"/>
    <mergeCell ref="B7:C7"/>
    <mergeCell ref="F11:G13"/>
    <mergeCell ref="G20:G21"/>
  </mergeCells>
  <pageMargins left="0.7" right="0.7" top="0.75" bottom="0.75" header="0.3" footer="0.3"/>
  <pageSetup paperSize="9"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8"/>
  <dimension ref="A1:P101"/>
  <sheetViews>
    <sheetView topLeftCell="A2" zoomScale="84" zoomScaleNormal="84" workbookViewId="0">
      <selection activeCell="C92" sqref="C92"/>
    </sheetView>
  </sheetViews>
  <sheetFormatPr baseColWidth="10" defaultColWidth="11" defaultRowHeight="17"/>
  <cols>
    <col min="1" max="1" width="48.796875" style="7" customWidth="1"/>
    <col min="2" max="2" width="23.796875" style="52" customWidth="1"/>
    <col min="3" max="3" width="24" style="7" customWidth="1"/>
    <col min="4" max="4" width="22.796875" style="12" customWidth="1"/>
    <col min="5" max="5" width="22.19921875" style="11" customWidth="1"/>
    <col min="6" max="6" width="30.59765625" style="7" customWidth="1"/>
    <col min="7" max="7" width="27.796875" style="6" customWidth="1"/>
    <col min="8" max="8" width="32.3984375" style="7" customWidth="1"/>
    <col min="9" max="9" width="23.59765625" style="7" customWidth="1"/>
    <col min="10" max="10" width="25.19921875" style="7" customWidth="1"/>
    <col min="11" max="11" width="28.796875" style="7" customWidth="1"/>
    <col min="12" max="12" width="36.19921875" style="7" customWidth="1"/>
    <col min="13" max="28" width="11" style="7" customWidth="1"/>
    <col min="29" max="16384" width="11" style="7"/>
  </cols>
  <sheetData>
    <row r="1" spans="1:16" ht="22" hidden="1" customHeight="1" thickBot="1"/>
    <row r="2" spans="1:16" ht="7" customHeight="1">
      <c r="D2" s="13"/>
    </row>
    <row r="3" spans="1:16" s="10" customFormat="1" ht="1" customHeight="1">
      <c r="A3" s="14"/>
      <c r="B3" s="53"/>
      <c r="C3" s="15" t="s">
        <v>11</v>
      </c>
      <c r="D3" s="15"/>
      <c r="E3" s="15"/>
      <c r="G3" s="9"/>
    </row>
    <row r="4" spans="1:16" s="10" customFormat="1" ht="19" customHeight="1">
      <c r="A4" s="14"/>
      <c r="B4" s="53"/>
      <c r="C4" s="15"/>
      <c r="D4" s="15"/>
      <c r="E4" s="15"/>
      <c r="G4" s="9"/>
    </row>
    <row r="5" spans="1:16" s="10" customFormat="1" ht="50" customHeight="1">
      <c r="A5" s="54" t="s">
        <v>129</v>
      </c>
      <c r="B5" s="674">
        <v>3</v>
      </c>
      <c r="C5" s="675"/>
      <c r="D5" s="277" t="s">
        <v>14</v>
      </c>
      <c r="E5" s="277"/>
      <c r="F5" s="278"/>
      <c r="G5" s="9"/>
    </row>
    <row r="6" spans="1:16" s="8" customFormat="1" ht="37" customHeight="1">
      <c r="A6" s="54" t="s">
        <v>130</v>
      </c>
      <c r="B6" s="683">
        <v>1</v>
      </c>
      <c r="C6" s="684"/>
      <c r="D6" s="682" t="s">
        <v>131</v>
      </c>
      <c r="E6" s="661"/>
      <c r="F6" s="106">
        <f>D21</f>
        <v>0</v>
      </c>
      <c r="G6" s="9"/>
      <c r="H6" s="10"/>
    </row>
    <row r="7" spans="1:16" s="8" customFormat="1" ht="33" customHeight="1">
      <c r="A7" s="55" t="s">
        <v>132</v>
      </c>
      <c r="B7" s="662">
        <f>CALENDAR!C2</f>
        <v>0</v>
      </c>
      <c r="C7" s="661"/>
      <c r="D7" s="660" t="s">
        <v>133</v>
      </c>
      <c r="E7" s="661"/>
      <c r="F7" s="107">
        <f>SUM(F12:F20)</f>
        <v>0</v>
      </c>
      <c r="G7" s="9"/>
      <c r="H7" s="10"/>
    </row>
    <row r="8" spans="1:16" s="8" customFormat="1" ht="31" customHeight="1">
      <c r="A8" s="54" t="s">
        <v>134</v>
      </c>
      <c r="B8" s="680">
        <f>CALENDAR!C3</f>
        <v>0</v>
      </c>
      <c r="C8" s="661"/>
      <c r="D8" s="681" t="s">
        <v>135</v>
      </c>
      <c r="E8" s="661"/>
      <c r="F8" s="108">
        <f>F6-F7</f>
        <v>0</v>
      </c>
      <c r="G8" s="9"/>
      <c r="H8" s="10"/>
    </row>
    <row r="9" spans="1:16" s="8" customFormat="1" ht="32" customHeight="1">
      <c r="A9" s="55" t="s">
        <v>136</v>
      </c>
      <c r="B9" s="678">
        <f>CALENDAR!J2</f>
        <v>0</v>
      </c>
      <c r="C9" s="661"/>
      <c r="D9" s="679" t="s">
        <v>137</v>
      </c>
      <c r="E9" s="661"/>
      <c r="F9" s="1"/>
      <c r="G9" s="9"/>
      <c r="H9" s="10"/>
    </row>
    <row r="10" spans="1:16" s="8" customFormat="1" ht="30" customHeight="1" thickBot="1">
      <c r="A10" s="16"/>
      <c r="B10" s="56"/>
      <c r="C10" s="6"/>
      <c r="D10" s="7"/>
      <c r="E10" s="7"/>
      <c r="F10" s="7"/>
      <c r="G10" s="17"/>
      <c r="H10" s="7"/>
      <c r="I10" s="7"/>
      <c r="J10" s="7"/>
      <c r="K10" s="7"/>
      <c r="L10" s="7"/>
      <c r="M10" s="7"/>
      <c r="N10" s="7"/>
      <c r="O10" s="7"/>
      <c r="P10" s="7"/>
    </row>
    <row r="11" spans="1:16" s="6" customFormat="1" ht="44" customHeight="1" thickBot="1">
      <c r="A11" s="671" t="s">
        <v>138</v>
      </c>
      <c r="B11" s="677" t="s">
        <v>139</v>
      </c>
      <c r="C11" s="57" t="s">
        <v>140</v>
      </c>
      <c r="D11" s="677" t="s">
        <v>141</v>
      </c>
      <c r="E11" s="7"/>
      <c r="F11" s="738">
        <f>E5</f>
        <v>0</v>
      </c>
      <c r="G11" s="664"/>
      <c r="H11" s="7"/>
      <c r="I11" s="658" t="s">
        <v>142</v>
      </c>
      <c r="J11" s="659"/>
      <c r="K11" s="659"/>
      <c r="L11" s="7"/>
      <c r="M11" s="7"/>
      <c r="N11" s="7"/>
      <c r="O11" s="7"/>
      <c r="P11" s="7"/>
    </row>
    <row r="12" spans="1:16" s="6" customFormat="1" ht="32" customHeight="1">
      <c r="A12" s="659"/>
      <c r="B12" s="659"/>
      <c r="C12" s="58">
        <v>0.05</v>
      </c>
      <c r="D12" s="659"/>
      <c r="E12" s="7"/>
      <c r="F12" s="665"/>
      <c r="G12" s="666"/>
      <c r="H12" s="7"/>
      <c r="I12" s="59" t="s">
        <v>126</v>
      </c>
      <c r="J12" s="60" t="s">
        <v>143</v>
      </c>
      <c r="K12" s="60" t="s">
        <v>144</v>
      </c>
      <c r="L12" s="7"/>
      <c r="M12" s="7"/>
      <c r="N12" s="7"/>
      <c r="O12" s="7"/>
      <c r="P12" s="7"/>
    </row>
    <row r="13" spans="1:16" ht="22" customHeight="1" thickBot="1">
      <c r="A13" s="61" t="s">
        <v>15</v>
      </c>
      <c r="B13" s="109">
        <f>G28</f>
        <v>0</v>
      </c>
      <c r="C13" s="109">
        <f t="shared" ref="C13:C20" si="0">B13*$C$12</f>
        <v>0</v>
      </c>
      <c r="D13" s="109">
        <f t="shared" ref="D13:D20" si="1">B13+(B13*$C$12)</f>
        <v>0</v>
      </c>
      <c r="E13" s="7"/>
      <c r="F13" s="667"/>
      <c r="G13" s="668"/>
      <c r="I13" s="3"/>
      <c r="J13" s="4"/>
      <c r="K13" s="5"/>
    </row>
    <row r="14" spans="1:16" s="6" customFormat="1" ht="20" customHeight="1">
      <c r="A14" s="62" t="s">
        <v>16</v>
      </c>
      <c r="B14" s="110">
        <f>J49</f>
        <v>0</v>
      </c>
      <c r="C14" s="110">
        <f t="shared" si="0"/>
        <v>0</v>
      </c>
      <c r="D14" s="110">
        <f t="shared" si="1"/>
        <v>0</v>
      </c>
      <c r="E14" s="7"/>
      <c r="F14" s="271" t="str">
        <f t="shared" ref="F14:F19" si="2">A14</f>
        <v>2.FOOD</v>
      </c>
      <c r="G14" s="261">
        <f>G49</f>
        <v>0</v>
      </c>
      <c r="H14" s="7"/>
      <c r="I14" s="3"/>
      <c r="J14" s="4"/>
      <c r="K14" s="5"/>
      <c r="L14" s="7"/>
      <c r="M14" s="7"/>
      <c r="N14" s="7"/>
      <c r="O14" s="7"/>
      <c r="P14" s="7"/>
    </row>
    <row r="15" spans="1:16" s="6" customFormat="1" ht="20" customHeight="1">
      <c r="A15" s="63" t="s">
        <v>17</v>
      </c>
      <c r="B15" s="111">
        <f>E59</f>
        <v>0</v>
      </c>
      <c r="C15" s="111">
        <f t="shared" si="0"/>
        <v>0</v>
      </c>
      <c r="D15" s="111">
        <f t="shared" si="1"/>
        <v>0</v>
      </c>
      <c r="E15" s="7"/>
      <c r="F15" s="272" t="str">
        <f t="shared" si="2"/>
        <v>3.DRINKS</v>
      </c>
      <c r="G15" s="262">
        <f>G59</f>
        <v>0</v>
      </c>
      <c r="H15" s="7"/>
      <c r="I15" s="3"/>
      <c r="J15" s="4"/>
      <c r="K15" s="5"/>
      <c r="L15" s="7"/>
      <c r="M15" s="7"/>
      <c r="N15" s="7"/>
      <c r="O15" s="7"/>
      <c r="P15" s="7"/>
    </row>
    <row r="16" spans="1:16" s="6" customFormat="1" ht="20" customHeight="1">
      <c r="A16" s="55" t="s">
        <v>18</v>
      </c>
      <c r="B16" s="112">
        <f>$E$72</f>
        <v>0</v>
      </c>
      <c r="C16" s="112">
        <f t="shared" si="0"/>
        <v>0</v>
      </c>
      <c r="D16" s="112">
        <f t="shared" si="1"/>
        <v>0</v>
      </c>
      <c r="E16" s="7"/>
      <c r="F16" s="273" t="str">
        <f t="shared" si="2"/>
        <v>4. ACTIVITIES</v>
      </c>
      <c r="G16" s="263">
        <f>G72</f>
        <v>0</v>
      </c>
      <c r="H16" s="7"/>
      <c r="I16" s="3"/>
      <c r="J16" s="4"/>
      <c r="K16" s="5"/>
      <c r="L16" s="7"/>
      <c r="M16" s="7"/>
      <c r="N16" s="7"/>
      <c r="O16" s="7"/>
      <c r="P16" s="7"/>
    </row>
    <row r="17" spans="1:16" s="6" customFormat="1" ht="20" customHeight="1">
      <c r="A17" s="63" t="s">
        <v>19</v>
      </c>
      <c r="B17" s="111">
        <f>$E$80</f>
        <v>0</v>
      </c>
      <c r="C17" s="111">
        <f t="shared" si="0"/>
        <v>0</v>
      </c>
      <c r="D17" s="111">
        <f t="shared" si="1"/>
        <v>0</v>
      </c>
      <c r="E17" s="7"/>
      <c r="F17" s="274" t="str">
        <f t="shared" si="2"/>
        <v>5.TRANSPORT</v>
      </c>
      <c r="G17" s="174">
        <f>G80</f>
        <v>0</v>
      </c>
      <c r="H17" s="7"/>
      <c r="I17" s="3"/>
      <c r="J17" s="4"/>
      <c r="K17" s="5"/>
      <c r="L17" s="7"/>
      <c r="M17" s="7"/>
      <c r="N17" s="7"/>
      <c r="O17" s="7"/>
      <c r="P17" s="7"/>
    </row>
    <row r="18" spans="1:16" s="6" customFormat="1" ht="20" customHeight="1">
      <c r="A18" s="64" t="s">
        <v>20</v>
      </c>
      <c r="B18" s="113">
        <f>$E$86</f>
        <v>0</v>
      </c>
      <c r="C18" s="113">
        <f t="shared" si="0"/>
        <v>0</v>
      </c>
      <c r="D18" s="113">
        <f t="shared" si="1"/>
        <v>0</v>
      </c>
      <c r="E18" s="10"/>
      <c r="F18" s="275" t="str">
        <f t="shared" si="2"/>
        <v>6.EXPERIENCES</v>
      </c>
      <c r="G18" s="264">
        <f>G86</f>
        <v>0</v>
      </c>
      <c r="H18" s="7"/>
      <c r="I18" s="3"/>
      <c r="J18" s="4"/>
      <c r="K18" s="5"/>
      <c r="L18" s="7"/>
      <c r="M18" s="7"/>
      <c r="N18" s="7"/>
      <c r="O18" s="7"/>
      <c r="P18" s="7"/>
    </row>
    <row r="19" spans="1:16" s="6" customFormat="1" ht="20" customHeight="1">
      <c r="A19" s="65" t="s">
        <v>21</v>
      </c>
      <c r="B19" s="114">
        <f>$E$95</f>
        <v>0</v>
      </c>
      <c r="C19" s="114">
        <f t="shared" si="0"/>
        <v>0</v>
      </c>
      <c r="D19" s="114">
        <f t="shared" si="1"/>
        <v>0</v>
      </c>
      <c r="E19" s="7"/>
      <c r="F19" s="276" t="str">
        <f t="shared" si="2"/>
        <v>7.EXTRAS</v>
      </c>
      <c r="G19" s="151">
        <f>G95</f>
        <v>0</v>
      </c>
      <c r="H19" s="7"/>
      <c r="I19" s="3"/>
      <c r="J19" s="4"/>
      <c r="K19" s="5"/>
      <c r="L19" s="7"/>
      <c r="M19" s="7"/>
      <c r="N19" s="7"/>
      <c r="O19" s="7"/>
      <c r="P19" s="7"/>
    </row>
    <row r="20" spans="1:16" s="6" customFormat="1" ht="20" customHeight="1" thickBot="1">
      <c r="A20" s="66" t="s">
        <v>22</v>
      </c>
      <c r="B20" s="115">
        <f>$E$99</f>
        <v>0</v>
      </c>
      <c r="C20" s="115">
        <f t="shared" si="0"/>
        <v>0</v>
      </c>
      <c r="D20" s="115">
        <f t="shared" si="1"/>
        <v>0</v>
      </c>
      <c r="E20" s="7"/>
      <c r="F20" s="676" t="s">
        <v>145</v>
      </c>
      <c r="G20" s="669">
        <f>G14+G15+G16+G17+G18+G19</f>
        <v>0</v>
      </c>
      <c r="H20" s="7"/>
      <c r="I20" s="3"/>
      <c r="J20" s="4"/>
      <c r="K20" s="5"/>
      <c r="L20" s="7"/>
      <c r="M20" s="7"/>
      <c r="N20" s="7"/>
      <c r="O20" s="7"/>
      <c r="P20" s="7"/>
    </row>
    <row r="21" spans="1:16" ht="35" customHeight="1" thickBot="1">
      <c r="A21" s="67" t="s">
        <v>146</v>
      </c>
      <c r="B21" s="116">
        <f>SUM(B13:B20)</f>
        <v>0</v>
      </c>
      <c r="C21" s="116"/>
      <c r="D21" s="116">
        <f>SUM(D13:D20)</f>
        <v>0</v>
      </c>
      <c r="E21" s="51"/>
      <c r="F21" s="670"/>
      <c r="G21" s="670"/>
    </row>
    <row r="22" spans="1:16" s="8" customFormat="1" ht="11" customHeight="1" thickBot="1">
      <c r="A22" s="16"/>
      <c r="B22" s="56"/>
      <c r="C22" s="6"/>
      <c r="D22" s="7"/>
      <c r="E22" s="7"/>
      <c r="F22" s="7"/>
      <c r="G22" s="17"/>
      <c r="H22" s="7"/>
      <c r="I22" s="7"/>
      <c r="J22" s="7"/>
      <c r="K22" s="7"/>
      <c r="L22" s="7"/>
      <c r="M22" s="7"/>
      <c r="N22" s="7"/>
      <c r="O22" s="7"/>
      <c r="P22" s="7"/>
    </row>
    <row r="23" spans="1:16" ht="44" customHeight="1" thickBot="1">
      <c r="A23" s="68" t="s">
        <v>114</v>
      </c>
      <c r="B23" s="69" t="s">
        <v>52</v>
      </c>
      <c r="C23" s="69" t="s">
        <v>147</v>
      </c>
      <c r="D23" s="69" t="s">
        <v>148</v>
      </c>
      <c r="E23" s="70" t="s">
        <v>149</v>
      </c>
      <c r="F23" s="70" t="s">
        <v>150</v>
      </c>
      <c r="G23" s="70" t="s">
        <v>151</v>
      </c>
    </row>
    <row r="24" spans="1:16" ht="20" customHeight="1">
      <c r="A24" s="71" t="s">
        <v>174</v>
      </c>
      <c r="B24" s="93">
        <v>1</v>
      </c>
      <c r="C24" s="117">
        <f>398381.8</f>
        <v>398381.8</v>
      </c>
      <c r="D24" s="118"/>
      <c r="E24" s="119">
        <f>(C24+D24)*$B$9*B24</f>
        <v>0</v>
      </c>
      <c r="F24" s="2">
        <v>0</v>
      </c>
      <c r="G24" s="119">
        <f>E24-(E24*F24)</f>
        <v>0</v>
      </c>
    </row>
    <row r="25" spans="1:16" ht="20" customHeight="1">
      <c r="A25" s="71" t="s">
        <v>175</v>
      </c>
      <c r="B25" s="93">
        <v>0</v>
      </c>
      <c r="C25" s="117">
        <f>398381.8</f>
        <v>398381.8</v>
      </c>
      <c r="D25" s="118">
        <v>50000</v>
      </c>
      <c r="E25" s="119">
        <f>(C25+D25)*$B$9*B25</f>
        <v>0</v>
      </c>
      <c r="F25" s="2">
        <v>0</v>
      </c>
      <c r="G25" s="119">
        <f>E25-(E25*F25)</f>
        <v>0</v>
      </c>
    </row>
    <row r="26" spans="1:16" ht="20" customHeight="1">
      <c r="A26" s="71" t="s">
        <v>176</v>
      </c>
      <c r="B26" s="93">
        <v>0</v>
      </c>
      <c r="C26" s="117">
        <f>358543.62</f>
        <v>358543.62</v>
      </c>
      <c r="D26" s="118"/>
      <c r="E26" s="119">
        <f>(C26+D26)*$B$9*B26</f>
        <v>0</v>
      </c>
      <c r="F26" s="2">
        <v>0</v>
      </c>
      <c r="G26" s="119">
        <f>E26-(E26*F26)</f>
        <v>0</v>
      </c>
    </row>
    <row r="27" spans="1:16" ht="20" customHeight="1" thickBot="1">
      <c r="A27" s="71" t="s">
        <v>177</v>
      </c>
      <c r="B27" s="93">
        <v>0</v>
      </c>
      <c r="C27" s="117">
        <f>358543.62</f>
        <v>358543.62</v>
      </c>
      <c r="D27" s="118">
        <v>50000</v>
      </c>
      <c r="E27" s="119">
        <f>(C27+D27)*$B$9*B27</f>
        <v>0</v>
      </c>
      <c r="F27" s="2">
        <v>0</v>
      </c>
      <c r="G27" s="119">
        <f>E27-(E27*F27)</f>
        <v>0</v>
      </c>
    </row>
    <row r="28" spans="1:16" ht="29" customHeight="1" thickBot="1">
      <c r="A28" s="672" t="s">
        <v>156</v>
      </c>
      <c r="B28" s="673"/>
      <c r="C28" s="673"/>
      <c r="D28" s="673"/>
      <c r="E28" s="72"/>
      <c r="F28" s="73"/>
      <c r="G28" s="120">
        <f>SUM(G24:G27)</f>
        <v>0</v>
      </c>
    </row>
    <row r="29" spans="1:16" s="8" customFormat="1" ht="11" customHeight="1" thickBot="1">
      <c r="A29" s="16"/>
      <c r="B29" s="56"/>
      <c r="C29" s="6"/>
      <c r="D29" s="7"/>
      <c r="E29" s="7"/>
      <c r="F29" s="7"/>
      <c r="G29" s="17"/>
      <c r="H29" s="7"/>
      <c r="I29" s="7"/>
      <c r="J29" s="7"/>
      <c r="K29" s="7"/>
      <c r="L29" s="7"/>
      <c r="M29" s="7"/>
      <c r="N29" s="7"/>
      <c r="O29" s="7"/>
      <c r="P29" s="7"/>
    </row>
    <row r="30" spans="1:16" s="10" customFormat="1" ht="40" customHeight="1" thickBot="1">
      <c r="A30" s="18" t="s">
        <v>51</v>
      </c>
      <c r="B30" s="159" t="s">
        <v>52</v>
      </c>
      <c r="C30" s="160" t="s">
        <v>53</v>
      </c>
      <c r="D30" s="153" t="s">
        <v>54</v>
      </c>
      <c r="E30" s="149" t="s">
        <v>157</v>
      </c>
      <c r="F30" s="103" t="s">
        <v>158</v>
      </c>
      <c r="G30" s="147" t="s">
        <v>159</v>
      </c>
    </row>
    <row r="31" spans="1:16" ht="20" customHeight="1" thickBot="1">
      <c r="A31" s="154" t="str">
        <f>'BASE PAX'!A6</f>
        <v>BREAKFAST</v>
      </c>
      <c r="B31" s="284">
        <f>(B5*B9*'BASE PAX'!G6)+('BASE PAX'!H6*B6*B9)</f>
        <v>0</v>
      </c>
      <c r="C31" s="121"/>
      <c r="D31" s="144"/>
      <c r="E31" s="283"/>
      <c r="F31" s="122">
        <f t="shared" ref="F31:F46" si="3">B31*C31</f>
        <v>0</v>
      </c>
      <c r="G31" s="325">
        <f>0.2*B31</f>
        <v>0</v>
      </c>
      <c r="H31" s="354" t="str">
        <f>'BASE PAX'!A6</f>
        <v>BREAKFAST</v>
      </c>
      <c r="I31" s="355">
        <f>B31</f>
        <v>0</v>
      </c>
    </row>
    <row r="32" spans="1:16" ht="20" customHeight="1">
      <c r="A32" s="155" t="str">
        <f>'BASE PAX'!A7</f>
        <v>LUNCH 1</v>
      </c>
      <c r="B32" s="89">
        <f>($B$5+($B$6*0.5))*'BASE PAX'!B7</f>
        <v>0</v>
      </c>
      <c r="C32" s="123">
        <f>'BASE PAX'!C7</f>
        <v>40000</v>
      </c>
      <c r="D32" s="125">
        <f>'BASE PAX'!D7</f>
        <v>48000</v>
      </c>
      <c r="E32" s="151">
        <f t="shared" ref="E32:E46" si="4">D32*B32</f>
        <v>0</v>
      </c>
      <c r="F32" s="124">
        <f t="shared" si="3"/>
        <v>0</v>
      </c>
      <c r="G32" s="146">
        <f t="shared" ref="G32:G46" si="5">E32-F32</f>
        <v>0</v>
      </c>
      <c r="H32" s="294"/>
      <c r="I32" s="295"/>
    </row>
    <row r="33" spans="1:11" ht="20" customHeight="1">
      <c r="A33" s="155" t="str">
        <f>'BASE PAX'!A8</f>
        <v>LUNCH 2</v>
      </c>
      <c r="B33" s="89">
        <f>($B$5+($B$6*0.5))*'BASE PAX'!B8</f>
        <v>0</v>
      </c>
      <c r="C33" s="123">
        <f>'BASE PAX'!C8</f>
        <v>40000</v>
      </c>
      <c r="D33" s="125">
        <f>'BASE PAX'!D8</f>
        <v>48000</v>
      </c>
      <c r="E33" s="151">
        <f t="shared" si="4"/>
        <v>0</v>
      </c>
      <c r="F33" s="124">
        <f t="shared" si="3"/>
        <v>0</v>
      </c>
      <c r="G33" s="146">
        <f t="shared" si="5"/>
        <v>0</v>
      </c>
      <c r="H33" s="294"/>
      <c r="I33" s="295"/>
    </row>
    <row r="34" spans="1:11" ht="20" customHeight="1">
      <c r="A34" s="155" t="str">
        <f>'BASE PAX'!A9</f>
        <v>LUNCH 3</v>
      </c>
      <c r="B34" s="89">
        <f>($B$5+($B$6*0.5))*'BASE PAX'!B9</f>
        <v>0</v>
      </c>
      <c r="C34" s="123">
        <f>'BASE PAX'!C9</f>
        <v>40000</v>
      </c>
      <c r="D34" s="125">
        <f>'BASE PAX'!D9</f>
        <v>48000</v>
      </c>
      <c r="E34" s="151">
        <f t="shared" si="4"/>
        <v>0</v>
      </c>
      <c r="F34" s="124">
        <f t="shared" si="3"/>
        <v>0</v>
      </c>
      <c r="G34" s="146">
        <f t="shared" si="5"/>
        <v>0</v>
      </c>
      <c r="H34" s="294"/>
      <c r="I34" s="295"/>
    </row>
    <row r="35" spans="1:11" ht="20" customHeight="1">
      <c r="A35" s="155" t="str">
        <f>'BASE PAX'!A10</f>
        <v>LUNCH 4</v>
      </c>
      <c r="B35" s="89">
        <f>($B$5+($B$6*0.5))*'BASE PAX'!B10</f>
        <v>0</v>
      </c>
      <c r="C35" s="123">
        <f>'BASE PAX'!C10</f>
        <v>45000</v>
      </c>
      <c r="D35" s="125">
        <f>'BASE PAX'!D10</f>
        <v>54000</v>
      </c>
      <c r="E35" s="151">
        <f t="shared" si="4"/>
        <v>0</v>
      </c>
      <c r="F35" s="124">
        <f t="shared" si="3"/>
        <v>0</v>
      </c>
      <c r="G35" s="146">
        <f t="shared" si="5"/>
        <v>0</v>
      </c>
      <c r="H35" s="294"/>
      <c r="I35" s="295"/>
    </row>
    <row r="36" spans="1:11" ht="20" customHeight="1">
      <c r="A36" s="155" t="str">
        <f>'BASE PAX'!A11</f>
        <v>LUNCH 5</v>
      </c>
      <c r="B36" s="89">
        <f>($B$5+($B$6*0.6))*'BASE PAX'!B11</f>
        <v>0</v>
      </c>
      <c r="C36" s="123">
        <f>'BASE PAX'!C11</f>
        <v>50000</v>
      </c>
      <c r="D36" s="125">
        <f>'BASE PAX'!D11</f>
        <v>60000</v>
      </c>
      <c r="E36" s="151">
        <f t="shared" si="4"/>
        <v>0</v>
      </c>
      <c r="F36" s="124">
        <f t="shared" si="3"/>
        <v>0</v>
      </c>
      <c r="G36" s="146">
        <f t="shared" si="5"/>
        <v>0</v>
      </c>
      <c r="H36" s="294"/>
      <c r="I36" s="295"/>
    </row>
    <row r="37" spans="1:11" ht="20" customHeight="1">
      <c r="A37" s="155" t="str">
        <f>'BASE PAX'!A12</f>
        <v>LUNCH 6</v>
      </c>
      <c r="B37" s="89">
        <f>($B$5+($B$6*0.5))*'BASE PAX'!B12</f>
        <v>0</v>
      </c>
      <c r="C37" s="123">
        <f>'BASE PAX'!C12</f>
        <v>0</v>
      </c>
      <c r="D37" s="125">
        <f>'BASE PAX'!D12</f>
        <v>0</v>
      </c>
      <c r="E37" s="151">
        <f t="shared" si="4"/>
        <v>0</v>
      </c>
      <c r="F37" s="124">
        <f t="shared" si="3"/>
        <v>0</v>
      </c>
      <c r="G37" s="146">
        <f t="shared" si="5"/>
        <v>0</v>
      </c>
      <c r="H37" s="294"/>
      <c r="I37" s="295"/>
    </row>
    <row r="38" spans="1:11" ht="20" customHeight="1">
      <c r="A38" s="155" t="str">
        <f>'BASE PAX'!A13</f>
        <v>LUNCH 7</v>
      </c>
      <c r="B38" s="89">
        <f>($B$5+($B$6*0.5))*'BASE PAX'!B13</f>
        <v>0</v>
      </c>
      <c r="C38" s="123">
        <f>'BASE PAX'!C13</f>
        <v>5000</v>
      </c>
      <c r="D38" s="125">
        <f>'BASE PAX'!D13</f>
        <v>6000</v>
      </c>
      <c r="E38" s="151">
        <f t="shared" si="4"/>
        <v>0</v>
      </c>
      <c r="F38" s="124">
        <f t="shared" si="3"/>
        <v>0</v>
      </c>
      <c r="G38" s="146">
        <f t="shared" si="5"/>
        <v>0</v>
      </c>
      <c r="H38" s="294"/>
      <c r="I38" s="295"/>
    </row>
    <row r="39" spans="1:11" ht="20" customHeight="1">
      <c r="A39" s="156" t="str">
        <f>'BASE PAX'!A14</f>
        <v>SNACKS</v>
      </c>
      <c r="B39" s="90">
        <f>($B$5+$B$6)*'BASE PAX'!B14</f>
        <v>0</v>
      </c>
      <c r="C39" s="125">
        <f>'BASE PAX'!C14</f>
        <v>8000</v>
      </c>
      <c r="D39" s="145">
        <f>'BASE PAX'!D14</f>
        <v>9600</v>
      </c>
      <c r="E39" s="150">
        <f t="shared" si="4"/>
        <v>0</v>
      </c>
      <c r="F39" s="122">
        <f t="shared" si="3"/>
        <v>0</v>
      </c>
      <c r="G39" s="146">
        <f t="shared" si="5"/>
        <v>0</v>
      </c>
      <c r="H39" s="294"/>
      <c r="I39" s="295"/>
    </row>
    <row r="40" spans="1:11" ht="20" customHeight="1">
      <c r="A40" s="155" t="str">
        <f>'BASE PAX'!A15</f>
        <v>DINNER 1</v>
      </c>
      <c r="B40" s="89">
        <f>($B$5+($B$6*0.6))*'BASE PAX'!B15</f>
        <v>0</v>
      </c>
      <c r="C40" s="123">
        <f>'BASE PAX'!C15</f>
        <v>70000</v>
      </c>
      <c r="D40" s="125">
        <f>'BASE PAX'!D15</f>
        <v>84000</v>
      </c>
      <c r="E40" s="151">
        <f t="shared" si="4"/>
        <v>0</v>
      </c>
      <c r="F40" s="124">
        <f t="shared" si="3"/>
        <v>0</v>
      </c>
      <c r="G40" s="146">
        <f t="shared" si="5"/>
        <v>0</v>
      </c>
      <c r="H40" s="294"/>
      <c r="I40" s="295"/>
    </row>
    <row r="41" spans="1:11" ht="20" customHeight="1">
      <c r="A41" s="155" t="str">
        <f>'BASE PAX'!A16</f>
        <v>DINNER 2</v>
      </c>
      <c r="B41" s="89">
        <f>($B$5+($B$6*0.6))*'BASE PAX'!B16</f>
        <v>0</v>
      </c>
      <c r="C41" s="123">
        <f>'BASE PAX'!C16</f>
        <v>25000</v>
      </c>
      <c r="D41" s="125">
        <f>'BASE PAX'!D16</f>
        <v>30000</v>
      </c>
      <c r="E41" s="151">
        <f t="shared" si="4"/>
        <v>0</v>
      </c>
      <c r="F41" s="124">
        <f t="shared" si="3"/>
        <v>0</v>
      </c>
      <c r="G41" s="146">
        <f t="shared" si="5"/>
        <v>0</v>
      </c>
      <c r="H41" s="294"/>
      <c r="I41" s="295"/>
    </row>
    <row r="42" spans="1:11" ht="20" customHeight="1">
      <c r="A42" s="155" t="str">
        <f>'BASE PAX'!A17</f>
        <v>DINNER 3</v>
      </c>
      <c r="B42" s="89">
        <f>($B$5+($B$6*0.6))*'BASE PAX'!B17</f>
        <v>0</v>
      </c>
      <c r="C42" s="123">
        <f>'BASE PAX'!C17</f>
        <v>50000</v>
      </c>
      <c r="D42" s="125">
        <f>'BASE PAX'!D17</f>
        <v>60000</v>
      </c>
      <c r="E42" s="151">
        <f t="shared" si="4"/>
        <v>0</v>
      </c>
      <c r="F42" s="124">
        <f t="shared" si="3"/>
        <v>0</v>
      </c>
      <c r="G42" s="146">
        <f t="shared" si="5"/>
        <v>0</v>
      </c>
      <c r="H42" s="294"/>
      <c r="I42" s="295"/>
    </row>
    <row r="43" spans="1:11" ht="20" customHeight="1">
      <c r="A43" s="155" t="str">
        <f>'BASE PAX'!A18</f>
        <v>DINNER 4</v>
      </c>
      <c r="B43" s="89">
        <f>($B$5+($B$6*0.5))*'BASE PAX'!B18</f>
        <v>0</v>
      </c>
      <c r="C43" s="123">
        <f>'BASE PAX'!C18</f>
        <v>65000</v>
      </c>
      <c r="D43" s="125">
        <f>'BASE PAX'!D18</f>
        <v>78000</v>
      </c>
      <c r="E43" s="151">
        <f t="shared" si="4"/>
        <v>0</v>
      </c>
      <c r="F43" s="124">
        <f t="shared" si="3"/>
        <v>0</v>
      </c>
      <c r="G43" s="146">
        <f t="shared" si="5"/>
        <v>0</v>
      </c>
      <c r="H43" s="294"/>
      <c r="I43" s="295"/>
    </row>
    <row r="44" spans="1:11" ht="20" customHeight="1">
      <c r="A44" s="155" t="str">
        <f>'BASE PAX'!A19</f>
        <v>DINNER 5</v>
      </c>
      <c r="B44" s="89">
        <f>($B$5+($B$6*0.6))*'BASE PAX'!B19</f>
        <v>0</v>
      </c>
      <c r="C44" s="123">
        <f>'BASE PAX'!C19</f>
        <v>75000</v>
      </c>
      <c r="D44" s="125">
        <f>'BASE PAX'!D19</f>
        <v>90000</v>
      </c>
      <c r="E44" s="151">
        <f t="shared" si="4"/>
        <v>0</v>
      </c>
      <c r="F44" s="124">
        <f t="shared" si="3"/>
        <v>0</v>
      </c>
      <c r="G44" s="146">
        <f t="shared" si="5"/>
        <v>0</v>
      </c>
      <c r="H44" s="294"/>
      <c r="I44" s="295"/>
    </row>
    <row r="45" spans="1:11" ht="20" customHeight="1">
      <c r="A45" s="155" t="str">
        <f>'BASE PAX'!A20</f>
        <v>DINNER 6</v>
      </c>
      <c r="B45" s="89">
        <f>($B$5+($B$6*0.5))*'BASE PAX'!B20</f>
        <v>0</v>
      </c>
      <c r="C45" s="123">
        <f>'BASE PAX'!C20</f>
        <v>0</v>
      </c>
      <c r="D45" s="125">
        <f>'BASE PAX'!D20</f>
        <v>0</v>
      </c>
      <c r="E45" s="151">
        <f t="shared" si="4"/>
        <v>0</v>
      </c>
      <c r="F45" s="124">
        <f t="shared" si="3"/>
        <v>0</v>
      </c>
      <c r="G45" s="146">
        <f t="shared" si="5"/>
        <v>0</v>
      </c>
      <c r="H45" s="294"/>
      <c r="I45" s="295"/>
    </row>
    <row r="46" spans="1:11" ht="20" customHeight="1" thickBot="1">
      <c r="A46" s="155" t="str">
        <f>'BASE PAX'!A21</f>
        <v>DINNER 7</v>
      </c>
      <c r="B46" s="89">
        <f>($B$5+($B$6*0.6))*'BASE PAX'!B21</f>
        <v>0</v>
      </c>
      <c r="C46" s="123">
        <f>'BASE PAX'!C21</f>
        <v>75000</v>
      </c>
      <c r="D46" s="125">
        <f>'BASE PAX'!D21</f>
        <v>90000</v>
      </c>
      <c r="E46" s="151">
        <f t="shared" si="4"/>
        <v>0</v>
      </c>
      <c r="F46" s="124">
        <f t="shared" si="3"/>
        <v>0</v>
      </c>
      <c r="G46" s="146">
        <f t="shared" si="5"/>
        <v>0</v>
      </c>
      <c r="H46" s="294"/>
      <c r="I46" s="295"/>
    </row>
    <row r="47" spans="1:11" ht="20" customHeight="1">
      <c r="A47" s="155" t="str">
        <f>'BASE PAX'!A22</f>
        <v>QUANT. TOTAL | PADRAO ALMOÇO</v>
      </c>
      <c r="B47" s="89">
        <f>'BASE PAX'!B22</f>
        <v>0</v>
      </c>
      <c r="C47" s="123"/>
      <c r="D47" s="125"/>
      <c r="E47" s="151"/>
      <c r="F47" s="124"/>
      <c r="G47" s="325">
        <f>0.2*I47</f>
        <v>0</v>
      </c>
      <c r="H47" s="338" t="str">
        <f>'BASE PAX'!A22</f>
        <v>QUANT. TOTAL | PADRAO ALMOÇO</v>
      </c>
      <c r="I47" s="350">
        <f>(B5*B47*'BASE PAX'!G22)+(B6*B47*'BASE PAX'!H22)</f>
        <v>0</v>
      </c>
      <c r="J47" s="328"/>
      <c r="K47" s="329"/>
    </row>
    <row r="48" spans="1:11" ht="20" customHeight="1" thickBot="1">
      <c r="A48" s="163" t="str">
        <f>'BASE PAX'!A23</f>
        <v>QUANT. TOTAL | PADRAO JANTAR</v>
      </c>
      <c r="B48" s="170">
        <f>'BASE PAX'!B23</f>
        <v>0</v>
      </c>
      <c r="C48" s="165"/>
      <c r="D48" s="166"/>
      <c r="E48" s="167"/>
      <c r="F48" s="168"/>
      <c r="G48" s="326">
        <f>0.2*I48</f>
        <v>0</v>
      </c>
      <c r="H48" s="347" t="str">
        <f>'BASE PAX'!A23</f>
        <v>QUANT. TOTAL | PADRAO JANTAR</v>
      </c>
      <c r="I48" s="336">
        <f>(B5*B48*'BASE PAX'!G23)+(B6*B48*'BASE PAX'!H23)</f>
        <v>0</v>
      </c>
      <c r="J48" s="330"/>
      <c r="K48" s="331"/>
    </row>
    <row r="49" spans="1:16" ht="29" customHeight="1" thickBot="1">
      <c r="A49" s="161" t="s">
        <v>72</v>
      </c>
      <c r="B49" s="157"/>
      <c r="C49" s="158"/>
      <c r="D49" s="152"/>
      <c r="E49" s="300">
        <f>SUM(E31:E48)</f>
        <v>0</v>
      </c>
      <c r="F49" s="104">
        <f>SUM(F31:F48)</f>
        <v>0</v>
      </c>
      <c r="G49" s="327">
        <f>SUM(G31:G48)</f>
        <v>0</v>
      </c>
      <c r="H49" s="341" t="s">
        <v>55</v>
      </c>
      <c r="I49" s="343">
        <f>I31+I47+I48</f>
        <v>0</v>
      </c>
      <c r="J49" s="360">
        <f>I49+E49</f>
        <v>0</v>
      </c>
      <c r="K49" s="344" t="s">
        <v>160</v>
      </c>
    </row>
    <row r="50" spans="1:16" s="8" customFormat="1" ht="11" customHeight="1" thickBot="1">
      <c r="A50" s="16"/>
      <c r="B50" s="56"/>
      <c r="C50" s="105"/>
      <c r="D50" s="102"/>
      <c r="E50" s="102"/>
      <c r="F50" s="7"/>
      <c r="G50" s="17"/>
      <c r="H50" s="7"/>
      <c r="I50" s="295"/>
      <c r="J50" s="7"/>
      <c r="K50" s="7"/>
      <c r="L50" s="7"/>
      <c r="M50" s="7"/>
      <c r="N50" s="7"/>
      <c r="O50" s="7"/>
      <c r="P50" s="7"/>
    </row>
    <row r="51" spans="1:16" ht="34" customHeight="1" thickBot="1">
      <c r="A51" s="21" t="s">
        <v>161</v>
      </c>
      <c r="B51" s="207" t="s">
        <v>52</v>
      </c>
      <c r="C51" s="208" t="s">
        <v>53</v>
      </c>
      <c r="D51" s="209" t="s">
        <v>54</v>
      </c>
      <c r="E51" s="172" t="s">
        <v>55</v>
      </c>
      <c r="F51" s="142" t="s">
        <v>158</v>
      </c>
      <c r="G51" s="182" t="s">
        <v>159</v>
      </c>
    </row>
    <row r="52" spans="1:16" ht="20" customHeight="1">
      <c r="A52" s="76" t="str">
        <f>'BASE PAX'!A27</f>
        <v>SUCOS</v>
      </c>
      <c r="B52" s="205">
        <f>'BASE PAX'!B27</f>
        <v>0</v>
      </c>
      <c r="C52" s="193">
        <f>'BASE PAX'!C27</f>
        <v>0</v>
      </c>
      <c r="D52" s="206">
        <f t="shared" ref="D52:D58" si="6">(C52*0.2)+C52</f>
        <v>0</v>
      </c>
      <c r="E52" s="174">
        <f t="shared" ref="E52:E58" si="7">D52*B52</f>
        <v>0</v>
      </c>
      <c r="F52" s="173">
        <f t="shared" ref="F52:F58" si="8">B52*C52</f>
        <v>0</v>
      </c>
      <c r="G52" s="183">
        <f t="shared" ref="G52:G59" si="9">E52-F52</f>
        <v>0</v>
      </c>
    </row>
    <row r="53" spans="1:16" ht="20" customHeight="1">
      <c r="A53" s="76" t="str">
        <f>'BASE PAX'!A28</f>
        <v>SUCOS</v>
      </c>
      <c r="B53" s="205">
        <f>'BASE PAX'!B28</f>
        <v>0</v>
      </c>
      <c r="C53" s="175">
        <f>'BASE PAX'!C28</f>
        <v>0</v>
      </c>
      <c r="D53" s="176">
        <f t="shared" si="6"/>
        <v>0</v>
      </c>
      <c r="E53" s="174">
        <f t="shared" si="7"/>
        <v>0</v>
      </c>
      <c r="F53" s="173">
        <f t="shared" si="8"/>
        <v>0</v>
      </c>
      <c r="G53" s="183">
        <f t="shared" si="9"/>
        <v>0</v>
      </c>
    </row>
    <row r="54" spans="1:16" ht="20" customHeight="1">
      <c r="A54" s="87" t="str">
        <f>'BASE PAX'!A29</f>
        <v>CERVEJAS</v>
      </c>
      <c r="B54" s="205">
        <f>'BASE PAX'!B29</f>
        <v>0</v>
      </c>
      <c r="C54" s="175">
        <f>'BASE PAX'!C29</f>
        <v>2000</v>
      </c>
      <c r="D54" s="176">
        <f t="shared" si="6"/>
        <v>2400</v>
      </c>
      <c r="E54" s="174">
        <f t="shared" si="7"/>
        <v>0</v>
      </c>
      <c r="F54" s="173">
        <f t="shared" si="8"/>
        <v>0</v>
      </c>
      <c r="G54" s="183">
        <f t="shared" si="9"/>
        <v>0</v>
      </c>
    </row>
    <row r="55" spans="1:16" ht="20" customHeight="1">
      <c r="A55" s="87" t="str">
        <f>'BASE PAX'!A30</f>
        <v>VINHOS</v>
      </c>
      <c r="B55" s="205">
        <f>'BASE PAX'!B30</f>
        <v>0</v>
      </c>
      <c r="C55" s="175">
        <f>'BASE PAX'!C30</f>
        <v>8000</v>
      </c>
      <c r="D55" s="176">
        <f t="shared" si="6"/>
        <v>9600</v>
      </c>
      <c r="E55" s="174">
        <f t="shared" si="7"/>
        <v>0</v>
      </c>
      <c r="F55" s="173">
        <f t="shared" si="8"/>
        <v>0</v>
      </c>
      <c r="G55" s="183">
        <f t="shared" si="9"/>
        <v>0</v>
      </c>
    </row>
    <row r="56" spans="1:16" ht="20" customHeight="1">
      <c r="A56" s="87" t="str">
        <f>'BASE PAX'!A31</f>
        <v>DRINKS</v>
      </c>
      <c r="B56" s="205">
        <f>'BASE PAX'!B31</f>
        <v>0</v>
      </c>
      <c r="C56" s="175">
        <f>'BASE PAX'!C31</f>
        <v>15000</v>
      </c>
      <c r="D56" s="176">
        <f t="shared" si="6"/>
        <v>18000</v>
      </c>
      <c r="E56" s="174">
        <f t="shared" si="7"/>
        <v>0</v>
      </c>
      <c r="F56" s="173">
        <f t="shared" si="8"/>
        <v>0</v>
      </c>
      <c r="G56" s="183">
        <f t="shared" si="9"/>
        <v>0</v>
      </c>
    </row>
    <row r="57" spans="1:16" ht="20" customHeight="1">
      <c r="A57" s="87" t="str">
        <f>'BASE PAX'!A32</f>
        <v>COOLER</v>
      </c>
      <c r="B57" s="205">
        <f>'BASE PAX'!B32</f>
        <v>0</v>
      </c>
      <c r="C57" s="175">
        <f>'BASE PAX'!C32</f>
        <v>5000</v>
      </c>
      <c r="D57" s="176">
        <f t="shared" si="6"/>
        <v>6000</v>
      </c>
      <c r="E57" s="174">
        <f t="shared" si="7"/>
        <v>0</v>
      </c>
      <c r="F57" s="173">
        <f t="shared" si="8"/>
        <v>0</v>
      </c>
      <c r="G57" s="183">
        <f t="shared" si="9"/>
        <v>0</v>
      </c>
    </row>
    <row r="58" spans="1:16" ht="20" customHeight="1" thickBot="1">
      <c r="A58" s="180">
        <f>'BASE PAX'!A33</f>
        <v>0</v>
      </c>
      <c r="B58" s="205">
        <f>'BASE PAX'!B33</f>
        <v>0</v>
      </c>
      <c r="C58" s="178">
        <f>'BASE PAX'!C33</f>
        <v>0</v>
      </c>
      <c r="D58" s="179">
        <f t="shared" si="6"/>
        <v>0</v>
      </c>
      <c r="E58" s="184">
        <f t="shared" si="7"/>
        <v>0</v>
      </c>
      <c r="F58" s="185">
        <f t="shared" si="8"/>
        <v>0</v>
      </c>
      <c r="G58" s="186">
        <f t="shared" si="9"/>
        <v>0</v>
      </c>
    </row>
    <row r="59" spans="1:16" ht="48" customHeight="1" thickBot="1">
      <c r="A59" s="21" t="s">
        <v>79</v>
      </c>
      <c r="B59" s="77"/>
      <c r="C59" s="126"/>
      <c r="D59" s="181"/>
      <c r="E59" s="127">
        <f>SUM(E52:E58)</f>
        <v>0</v>
      </c>
      <c r="F59" s="188">
        <f>SUM(F52:F58)</f>
        <v>0</v>
      </c>
      <c r="G59" s="189">
        <f t="shared" si="9"/>
        <v>0</v>
      </c>
    </row>
    <row r="60" spans="1:16" s="8" customFormat="1" ht="11" customHeight="1" thickBot="1">
      <c r="A60" s="16"/>
      <c r="B60" s="56"/>
      <c r="C60" s="105"/>
      <c r="D60" s="102"/>
      <c r="E60" s="102"/>
      <c r="F60" s="7"/>
      <c r="G60" s="17"/>
      <c r="H60" s="7"/>
      <c r="I60" s="7"/>
      <c r="J60" s="7"/>
      <c r="K60" s="7"/>
      <c r="L60" s="7"/>
      <c r="M60" s="7"/>
      <c r="N60" s="7"/>
      <c r="O60" s="7"/>
      <c r="P60" s="7"/>
    </row>
    <row r="61" spans="1:16" s="10" customFormat="1" ht="42" customHeight="1" thickBot="1">
      <c r="A61" s="226" t="s">
        <v>18</v>
      </c>
      <c r="B61" s="227" t="s">
        <v>52</v>
      </c>
      <c r="C61" s="228" t="s">
        <v>53</v>
      </c>
      <c r="D61" s="229" t="s">
        <v>54</v>
      </c>
      <c r="E61" s="229" t="s">
        <v>55</v>
      </c>
      <c r="F61" s="228" t="s">
        <v>158</v>
      </c>
      <c r="G61" s="230" t="s">
        <v>159</v>
      </c>
    </row>
    <row r="62" spans="1:16" ht="20" customHeight="1">
      <c r="A62" s="223" t="str">
        <f>'BASE PAX'!A37</f>
        <v>HOTTUBE</v>
      </c>
      <c r="B62" s="224">
        <f>'BASE PAX'!B37</f>
        <v>0</v>
      </c>
      <c r="C62" s="195">
        <f>'BASE PAX'!C37</f>
        <v>12000</v>
      </c>
      <c r="D62" s="225">
        <f t="shared" ref="D62:D71" si="10">C62*0.2+C62</f>
        <v>14400</v>
      </c>
      <c r="E62" s="225">
        <f t="shared" ref="E62:E71" si="11">D62*B62</f>
        <v>0</v>
      </c>
      <c r="F62" s="195">
        <f t="shared" ref="F62:F72" si="12">B62*C62</f>
        <v>0</v>
      </c>
      <c r="G62" s="194">
        <f t="shared" ref="G62:G72" si="13">E62-F62</f>
        <v>0</v>
      </c>
    </row>
    <row r="63" spans="1:16" ht="20" customHeight="1">
      <c r="A63" s="219" t="str">
        <f>'BASE PAX'!A38</f>
        <v>TREKKING 1/2 DAY</v>
      </c>
      <c r="B63" s="224">
        <f>'BASE PAX'!B38</f>
        <v>0</v>
      </c>
      <c r="C63" s="196">
        <f>'BASE PAX'!C38</f>
        <v>60000</v>
      </c>
      <c r="D63" s="220">
        <f t="shared" si="10"/>
        <v>72000</v>
      </c>
      <c r="E63" s="220">
        <f t="shared" si="11"/>
        <v>0</v>
      </c>
      <c r="F63" s="196">
        <f t="shared" si="12"/>
        <v>0</v>
      </c>
      <c r="G63" s="190">
        <f t="shared" si="13"/>
        <v>0</v>
      </c>
    </row>
    <row r="64" spans="1:16" ht="20" customHeight="1">
      <c r="A64" s="219" t="str">
        <f>'BASE PAX'!A39</f>
        <v>TREKKING FUK DAY</v>
      </c>
      <c r="B64" s="224">
        <f>'BASE PAX'!B39</f>
        <v>0</v>
      </c>
      <c r="C64" s="196">
        <f>'BASE PAX'!C39</f>
        <v>90000</v>
      </c>
      <c r="D64" s="220">
        <f t="shared" si="10"/>
        <v>108000</v>
      </c>
      <c r="E64" s="220">
        <f t="shared" si="11"/>
        <v>0</v>
      </c>
      <c r="F64" s="196">
        <f t="shared" si="12"/>
        <v>0</v>
      </c>
      <c r="G64" s="190">
        <f t="shared" si="13"/>
        <v>0</v>
      </c>
    </row>
    <row r="65" spans="1:16" ht="20" customHeight="1">
      <c r="A65" s="219" t="str">
        <f>'BASE PAX'!A40</f>
        <v>FLOTADA FAMILIAR</v>
      </c>
      <c r="B65" s="224">
        <f>'BASE PAX'!B40</f>
        <v>0</v>
      </c>
      <c r="C65" s="196">
        <f>'BASE PAX'!C40</f>
        <v>60000</v>
      </c>
      <c r="D65" s="220">
        <f t="shared" si="10"/>
        <v>72000</v>
      </c>
      <c r="E65" s="220">
        <f t="shared" si="11"/>
        <v>0</v>
      </c>
      <c r="F65" s="196">
        <f t="shared" si="12"/>
        <v>0</v>
      </c>
      <c r="G65" s="190">
        <f t="shared" si="13"/>
        <v>0</v>
      </c>
    </row>
    <row r="66" spans="1:16" ht="20" customHeight="1">
      <c r="A66" s="219" t="str">
        <f>'BASE PAX'!A41</f>
        <v>RAFTING 1/2 DAY</v>
      </c>
      <c r="B66" s="224">
        <f>'BASE PAX'!B41</f>
        <v>0</v>
      </c>
      <c r="C66" s="196">
        <f>'BASE PAX'!C41</f>
        <v>75000</v>
      </c>
      <c r="D66" s="220">
        <f t="shared" si="10"/>
        <v>90000</v>
      </c>
      <c r="E66" s="220">
        <f t="shared" si="11"/>
        <v>0</v>
      </c>
      <c r="F66" s="196">
        <f t="shared" si="12"/>
        <v>0</v>
      </c>
      <c r="G66" s="190">
        <f t="shared" si="13"/>
        <v>0</v>
      </c>
    </row>
    <row r="67" spans="1:16" ht="20" customHeight="1">
      <c r="A67" s="219" t="str">
        <f>'BASE PAX'!A42</f>
        <v>RAFTING FULL DAY</v>
      </c>
      <c r="B67" s="224">
        <f>'BASE PAX'!B42</f>
        <v>0</v>
      </c>
      <c r="C67" s="196">
        <f>'BASE PAX'!C42</f>
        <v>110000</v>
      </c>
      <c r="D67" s="220">
        <f t="shared" si="10"/>
        <v>132000</v>
      </c>
      <c r="E67" s="220">
        <f t="shared" si="11"/>
        <v>0</v>
      </c>
      <c r="F67" s="196">
        <f t="shared" si="12"/>
        <v>0</v>
      </c>
      <c r="G67" s="190">
        <f t="shared" si="13"/>
        <v>0</v>
      </c>
    </row>
    <row r="68" spans="1:16" ht="20" customHeight="1">
      <c r="A68" s="219" t="str">
        <f>'BASE PAX'!A43</f>
        <v>CABALGADA 1/2 DAy</v>
      </c>
      <c r="B68" s="224">
        <f>'BASE PAX'!B43</f>
        <v>0</v>
      </c>
      <c r="C68" s="196">
        <f>'BASE PAX'!C43</f>
        <v>90000</v>
      </c>
      <c r="D68" s="220">
        <f t="shared" si="10"/>
        <v>108000</v>
      </c>
      <c r="E68" s="220">
        <f t="shared" si="11"/>
        <v>0</v>
      </c>
      <c r="F68" s="196">
        <f t="shared" si="12"/>
        <v>0</v>
      </c>
      <c r="G68" s="190">
        <f t="shared" si="13"/>
        <v>0</v>
      </c>
    </row>
    <row r="69" spans="1:16" ht="20" customHeight="1">
      <c r="A69" s="219" t="str">
        <f>'BASE PAX'!A44</f>
        <v>CABALGADA FULL DAY</v>
      </c>
      <c r="B69" s="224">
        <f>'BASE PAX'!B44</f>
        <v>0</v>
      </c>
      <c r="C69" s="196">
        <f>'BASE PAX'!C44</f>
        <v>140000</v>
      </c>
      <c r="D69" s="220">
        <f t="shared" si="10"/>
        <v>168000</v>
      </c>
      <c r="E69" s="220">
        <f t="shared" si="11"/>
        <v>0</v>
      </c>
      <c r="F69" s="196">
        <f t="shared" si="12"/>
        <v>0</v>
      </c>
      <c r="G69" s="190">
        <f t="shared" si="13"/>
        <v>0</v>
      </c>
    </row>
    <row r="70" spans="1:16" ht="20" customHeight="1">
      <c r="A70" s="219" t="str">
        <f>'BASE PAX'!A45</f>
        <v>LANCHA YELCHO</v>
      </c>
      <c r="B70" s="224">
        <f>'BASE PAX'!B45</f>
        <v>0</v>
      </c>
      <c r="C70" s="196">
        <f>'BASE PAX'!C45</f>
        <v>120000</v>
      </c>
      <c r="D70" s="220">
        <f t="shared" si="10"/>
        <v>144000</v>
      </c>
      <c r="E70" s="220">
        <f t="shared" si="11"/>
        <v>0</v>
      </c>
      <c r="F70" s="196">
        <f t="shared" si="12"/>
        <v>0</v>
      </c>
      <c r="G70" s="190">
        <f t="shared" si="13"/>
        <v>0</v>
      </c>
    </row>
    <row r="71" spans="1:16" ht="20" customHeight="1" thickBot="1">
      <c r="A71" s="221" t="str">
        <f>'BASE PAX'!A46</f>
        <v>RECREACAO INFANTIL 3HS</v>
      </c>
      <c r="B71" s="224">
        <f>'BASE PAX'!B46</f>
        <v>0</v>
      </c>
      <c r="C71" s="197">
        <f>'BASE PAX'!C46</f>
        <v>30000</v>
      </c>
      <c r="D71" s="220">
        <f t="shared" si="10"/>
        <v>36000</v>
      </c>
      <c r="E71" s="222">
        <f t="shared" si="11"/>
        <v>0</v>
      </c>
      <c r="F71" s="197">
        <f t="shared" si="12"/>
        <v>0</v>
      </c>
      <c r="G71" s="192">
        <f t="shared" si="13"/>
        <v>0</v>
      </c>
    </row>
    <row r="72" spans="1:16" ht="48" customHeight="1" thickBot="1">
      <c r="A72" s="22" t="s">
        <v>84</v>
      </c>
      <c r="B72" s="79"/>
      <c r="C72" s="128"/>
      <c r="D72" s="128"/>
      <c r="E72" s="198">
        <f>SUM(E62:E71)</f>
        <v>0</v>
      </c>
      <c r="F72" s="204">
        <f t="shared" si="12"/>
        <v>0</v>
      </c>
      <c r="G72" s="203">
        <f t="shared" si="13"/>
        <v>0</v>
      </c>
    </row>
    <row r="73" spans="1:16" ht="37" customHeight="1" thickBot="1"/>
    <row r="74" spans="1:16" s="8" customFormat="1" ht="36" customHeight="1" thickBot="1">
      <c r="A74" s="23" t="s">
        <v>116</v>
      </c>
      <c r="B74" s="214" t="s">
        <v>52</v>
      </c>
      <c r="C74" s="215" t="s">
        <v>53</v>
      </c>
      <c r="D74" s="153" t="s">
        <v>54</v>
      </c>
      <c r="E74" s="153" t="s">
        <v>55</v>
      </c>
      <c r="F74" s="143" t="s">
        <v>162</v>
      </c>
      <c r="G74" s="147" t="s">
        <v>159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 ht="20" customHeight="1">
      <c r="A75" s="88" t="str">
        <f>'BASE PAX'!A50</f>
        <v>TRANSFER AEROPORTO CHEGADA</v>
      </c>
      <c r="B75" s="211">
        <f>'BASE PAX'!B50</f>
        <v>0</v>
      </c>
      <c r="C75" s="213">
        <f>'BASE PAX'!C50</f>
        <v>80000</v>
      </c>
      <c r="D75" s="231">
        <f>C75*0.2+C75</f>
        <v>96000</v>
      </c>
      <c r="E75" s="231">
        <f>D75*B75</f>
        <v>0</v>
      </c>
      <c r="F75" s="210">
        <f>B75*C75</f>
        <v>0</v>
      </c>
      <c r="G75" s="199">
        <f t="shared" ref="G75:G80" si="14">E75-F75</f>
        <v>0</v>
      </c>
    </row>
    <row r="76" spans="1:16" ht="20" customHeight="1">
      <c r="A76" s="88" t="str">
        <f>'BASE PAX'!A51</f>
        <v>TRANSFER AEROPORTO PARTIDA</v>
      </c>
      <c r="B76" s="211">
        <f>'BASE PAX'!B51</f>
        <v>0</v>
      </c>
      <c r="C76" s="212">
        <f>'BASE PAX'!C51</f>
        <v>80000</v>
      </c>
      <c r="D76" s="232">
        <f>C76*0.2+C76</f>
        <v>96000</v>
      </c>
      <c r="E76" s="232">
        <f>D76*B76</f>
        <v>0</v>
      </c>
      <c r="F76" s="210">
        <f>B76*C76</f>
        <v>0</v>
      </c>
      <c r="G76" s="200">
        <f t="shared" si="14"/>
        <v>0</v>
      </c>
    </row>
    <row r="77" spans="1:16" ht="20" customHeight="1">
      <c r="A77" s="88" t="str">
        <f>'BASE PAX'!A52</f>
        <v>TRANSFERS INTERNO</v>
      </c>
      <c r="B77" s="211">
        <f>'BASE PAX'!B52</f>
        <v>0</v>
      </c>
      <c r="C77" s="212">
        <f>'BASE PAX'!C52</f>
        <v>18000</v>
      </c>
      <c r="D77" s="232">
        <f>C77*0.2+C77</f>
        <v>21600</v>
      </c>
      <c r="E77" s="232">
        <f>D77*B77</f>
        <v>0</v>
      </c>
      <c r="F77" s="210">
        <f>B77*C77</f>
        <v>0</v>
      </c>
      <c r="G77" s="200">
        <f t="shared" si="14"/>
        <v>0</v>
      </c>
    </row>
    <row r="78" spans="1:16" ht="20" customHeight="1">
      <c r="A78" s="88" t="str">
        <f>'BASE PAX'!A53</f>
        <v>EXTRAS 1</v>
      </c>
      <c r="B78" s="211">
        <f>'BASE PAX'!B53</f>
        <v>0</v>
      </c>
      <c r="C78" s="212">
        <f>'BASE PAX'!C53</f>
        <v>150000</v>
      </c>
      <c r="D78" s="232">
        <f>C78*0.2+C78</f>
        <v>180000</v>
      </c>
      <c r="E78" s="232">
        <f>D78*B78</f>
        <v>0</v>
      </c>
      <c r="F78" s="210">
        <f>B78*C78</f>
        <v>0</v>
      </c>
      <c r="G78" s="200">
        <f t="shared" si="14"/>
        <v>0</v>
      </c>
    </row>
    <row r="79" spans="1:16" ht="20" customHeight="1" thickBot="1">
      <c r="A79" s="218" t="str">
        <f>'BASE PAX'!A54</f>
        <v>EXTRAS 2</v>
      </c>
      <c r="B79" s="211">
        <f>'BASE PAX'!B54</f>
        <v>0</v>
      </c>
      <c r="C79" s="216">
        <f>'BASE PAX'!C54</f>
        <v>0</v>
      </c>
      <c r="D79" s="233">
        <f>C79*0.2+C79</f>
        <v>0</v>
      </c>
      <c r="E79" s="233">
        <f>D79*B79</f>
        <v>0</v>
      </c>
      <c r="F79" s="217">
        <f>B79*C79</f>
        <v>0</v>
      </c>
      <c r="G79" s="201">
        <f t="shared" si="14"/>
        <v>0</v>
      </c>
    </row>
    <row r="80" spans="1:16" ht="44" customHeight="1" thickBot="1">
      <c r="A80" s="23" t="s">
        <v>89</v>
      </c>
      <c r="B80" s="80"/>
      <c r="C80" s="130"/>
      <c r="D80" s="130"/>
      <c r="E80" s="131">
        <f>SUM(E75:E79)</f>
        <v>0</v>
      </c>
      <c r="F80" s="131">
        <f>SUM(F75:F79)</f>
        <v>0</v>
      </c>
      <c r="G80" s="203">
        <f t="shared" si="14"/>
        <v>0</v>
      </c>
    </row>
    <row r="81" spans="1:16" s="8" customFormat="1" ht="11" customHeight="1" thickBot="1">
      <c r="A81" s="16"/>
      <c r="B81" s="56"/>
      <c r="C81" s="105"/>
      <c r="D81" s="102"/>
      <c r="E81" s="102"/>
      <c r="F81" s="7"/>
      <c r="G81" s="17"/>
      <c r="H81" s="7"/>
      <c r="I81" s="7"/>
      <c r="J81" s="7"/>
      <c r="K81" s="7"/>
      <c r="L81" s="7"/>
      <c r="M81" s="7"/>
      <c r="N81" s="7"/>
      <c r="O81" s="7"/>
      <c r="P81" s="7"/>
    </row>
    <row r="82" spans="1:16" s="9" customFormat="1" ht="42" customHeight="1" thickBot="1">
      <c r="A82" s="246" t="s">
        <v>117</v>
      </c>
      <c r="B82" s="247" t="s">
        <v>52</v>
      </c>
      <c r="C82" s="248" t="s">
        <v>53</v>
      </c>
      <c r="D82" s="249" t="s">
        <v>54</v>
      </c>
      <c r="E82" s="249" t="s">
        <v>55</v>
      </c>
      <c r="F82" s="248" t="s">
        <v>162</v>
      </c>
      <c r="G82" s="147" t="s">
        <v>159</v>
      </c>
    </row>
    <row r="83" spans="1:16" ht="20" customHeight="1">
      <c r="A83" s="81" t="str">
        <f>'BASE PAX'!A58</f>
        <v>WS INSTRUCTOR</v>
      </c>
      <c r="B83" s="238">
        <f>'BASE PAX'!B58</f>
        <v>0</v>
      </c>
      <c r="C83" s="239">
        <f>'BASE PAX'!C58</f>
        <v>3415000</v>
      </c>
      <c r="D83" s="240">
        <f>(C83*0.15)+C83</f>
        <v>3927250</v>
      </c>
      <c r="E83" s="240">
        <f>D83*B83</f>
        <v>0</v>
      </c>
      <c r="F83" s="234">
        <f>B83*C83</f>
        <v>0</v>
      </c>
      <c r="G83" s="199">
        <f>E83-F83</f>
        <v>0</v>
      </c>
    </row>
    <row r="84" spans="1:16" ht="20" customHeight="1">
      <c r="A84" s="81" t="str">
        <f>'BASE PAX'!A59</f>
        <v>PRODUCER FEE</v>
      </c>
      <c r="B84" s="235">
        <f>'BASE PAX'!B59</f>
        <v>0</v>
      </c>
      <c r="C84" s="236">
        <f>'BASE PAX'!C59</f>
        <v>180000</v>
      </c>
      <c r="D84" s="237">
        <f>(C84*0.15)+C84</f>
        <v>207000</v>
      </c>
      <c r="E84" s="237">
        <f>D84*B84</f>
        <v>0</v>
      </c>
      <c r="F84" s="234">
        <f>B84*C84</f>
        <v>0</v>
      </c>
      <c r="G84" s="200">
        <f>E84-F84</f>
        <v>0</v>
      </c>
    </row>
    <row r="85" spans="1:16" ht="20" customHeight="1" thickBot="1">
      <c r="A85" s="241">
        <f>'BASE PAX'!A60</f>
        <v>0</v>
      </c>
      <c r="B85" s="242">
        <f>'BASE PAX'!B60</f>
        <v>0</v>
      </c>
      <c r="C85" s="243">
        <f>'BASE PAX'!C60</f>
        <v>20000</v>
      </c>
      <c r="D85" s="244">
        <f>(C85*0.15)+C85</f>
        <v>23000</v>
      </c>
      <c r="E85" s="244">
        <f>D85*B85</f>
        <v>0</v>
      </c>
      <c r="F85" s="245">
        <f>B85*C85</f>
        <v>0</v>
      </c>
      <c r="G85" s="201">
        <f>E85-F85</f>
        <v>0</v>
      </c>
    </row>
    <row r="86" spans="1:16" ht="41" customHeight="1" thickBot="1">
      <c r="A86" s="24" t="s">
        <v>163</v>
      </c>
      <c r="B86" s="82"/>
      <c r="C86" s="132"/>
      <c r="D86" s="132"/>
      <c r="E86" s="133">
        <f>SUM(E83:E85)</f>
        <v>0</v>
      </c>
      <c r="F86" s="133">
        <f>SUM(F81:F85)</f>
        <v>0</v>
      </c>
      <c r="G86" s="203">
        <f>E86-F86</f>
        <v>0</v>
      </c>
    </row>
    <row r="87" spans="1:16" s="8" customFormat="1" ht="11" customHeight="1" thickBot="1">
      <c r="A87" s="16"/>
      <c r="B87" s="56"/>
      <c r="C87" s="105"/>
      <c r="D87" s="102"/>
      <c r="E87" s="102"/>
      <c r="F87" s="7"/>
      <c r="G87" s="17"/>
      <c r="H87" s="7"/>
      <c r="I87" s="7"/>
      <c r="J87" s="7"/>
      <c r="K87" s="7"/>
      <c r="L87" s="7"/>
      <c r="M87" s="7"/>
      <c r="N87" s="7"/>
      <c r="O87" s="7"/>
      <c r="P87" s="7"/>
    </row>
    <row r="88" spans="1:16" ht="38" customHeight="1" thickBot="1">
      <c r="A88" s="258" t="s">
        <v>164</v>
      </c>
      <c r="B88" s="259" t="s">
        <v>92</v>
      </c>
      <c r="C88" s="250" t="s">
        <v>53</v>
      </c>
      <c r="D88" s="260" t="s">
        <v>54</v>
      </c>
      <c r="E88" s="260" t="s">
        <v>55</v>
      </c>
      <c r="F88" s="250"/>
      <c r="G88" s="147" t="s">
        <v>159</v>
      </c>
    </row>
    <row r="89" spans="1:16" ht="20" customHeight="1">
      <c r="A89" s="255" t="str">
        <f>'BASE PAX'!A64</f>
        <v>COORDENAÇÃO PRODUÇÃO</v>
      </c>
      <c r="B89" s="256">
        <f>'BASE PAX'!B64</f>
        <v>0</v>
      </c>
      <c r="C89" s="257">
        <f>'BASE PAX'!C64</f>
        <v>50000</v>
      </c>
      <c r="D89" s="257">
        <f>'BASE PAX'!D64</f>
        <v>0</v>
      </c>
      <c r="E89" s="121">
        <f>D89*B89</f>
        <v>0</v>
      </c>
      <c r="F89" s="257"/>
      <c r="G89" s="199">
        <f t="shared" ref="G89:G94" si="15">E89*0.2</f>
        <v>0</v>
      </c>
    </row>
    <row r="90" spans="1:16" ht="20" customHeight="1">
      <c r="A90" s="251" t="str">
        <f>'BASE PAX'!A65</f>
        <v>EXTRA MÃO DE OBRA</v>
      </c>
      <c r="B90" s="256">
        <f>'BASE PAX'!B65</f>
        <v>0</v>
      </c>
      <c r="C90" s="253">
        <f>'BASE PAX'!C65</f>
        <v>50000</v>
      </c>
      <c r="D90" s="253">
        <f>'BASE PAX'!D65</f>
        <v>0</v>
      </c>
      <c r="E90" s="121">
        <f t="shared" ref="E90:E94" si="16">D90*B90</f>
        <v>0</v>
      </c>
      <c r="F90" s="253"/>
      <c r="G90" s="199">
        <f t="shared" si="15"/>
        <v>0</v>
      </c>
    </row>
    <row r="91" spans="1:16" ht="20" customHeight="1">
      <c r="A91" s="251" t="str">
        <f>'BASE PAX'!A66</f>
        <v>TAXA LIMPEZA CHECK IN / CHECKOUT</v>
      </c>
      <c r="B91" s="252">
        <f>'BASE PAX'!B66</f>
        <v>0</v>
      </c>
      <c r="C91" s="253">
        <f>'BASE PAX'!C66</f>
        <v>40000</v>
      </c>
      <c r="D91" s="253">
        <f>'BASE PAX'!D66</f>
        <v>0</v>
      </c>
      <c r="E91" s="121">
        <f t="shared" si="16"/>
        <v>0</v>
      </c>
      <c r="F91" s="253"/>
      <c r="G91" s="199">
        <f t="shared" si="15"/>
        <v>0</v>
      </c>
    </row>
    <row r="92" spans="1:16" ht="20" customHeight="1">
      <c r="A92" s="251" t="str">
        <f>'BASE PAX'!A67</f>
        <v>TAXA LIMPEZA DIARIA</v>
      </c>
      <c r="B92" s="254">
        <f>'BASE PAX'!B67</f>
        <v>0</v>
      </c>
      <c r="C92" s="253">
        <f>'BASE PAX'!C67</f>
        <v>30000</v>
      </c>
      <c r="D92" s="253">
        <f>'BASE PAX'!D67</f>
        <v>0</v>
      </c>
      <c r="E92" s="121">
        <f t="shared" si="16"/>
        <v>0</v>
      </c>
      <c r="F92" s="253"/>
      <c r="G92" s="199">
        <f t="shared" si="15"/>
        <v>0</v>
      </c>
    </row>
    <row r="93" spans="1:16" ht="20" customHeight="1">
      <c r="A93" s="251" t="str">
        <f>'BASE PAX'!A68</f>
        <v>SOUVENIR</v>
      </c>
      <c r="B93" s="254">
        <f>'BASE PAX'!B68</f>
        <v>0</v>
      </c>
      <c r="C93" s="253">
        <f>'BASE PAX'!C68</f>
        <v>15000</v>
      </c>
      <c r="D93" s="253">
        <f>'BASE PAX'!D68</f>
        <v>0</v>
      </c>
      <c r="E93" s="121">
        <f t="shared" si="16"/>
        <v>0</v>
      </c>
      <c r="F93" s="253"/>
      <c r="G93" s="199">
        <f t="shared" si="15"/>
        <v>0</v>
      </c>
    </row>
    <row r="94" spans="1:16" ht="20" customHeight="1" thickBot="1">
      <c r="A94" s="251" t="str">
        <f>'BASE PAX'!A69</f>
        <v>ASSISTENTE COORDENAÇÃO</v>
      </c>
      <c r="B94" s="256">
        <f>'BASE PAX'!B69</f>
        <v>0</v>
      </c>
      <c r="C94" s="253">
        <f>'BASE PAX'!C69</f>
        <v>30000</v>
      </c>
      <c r="D94" s="253">
        <f>'BASE PAX'!D69</f>
        <v>0</v>
      </c>
      <c r="E94" s="121">
        <f t="shared" si="16"/>
        <v>0</v>
      </c>
      <c r="F94" s="253"/>
      <c r="G94" s="199">
        <f t="shared" si="15"/>
        <v>0</v>
      </c>
    </row>
    <row r="95" spans="1:16" ht="41" customHeight="1" thickBot="1">
      <c r="A95" s="25" t="s">
        <v>101</v>
      </c>
      <c r="B95" s="83"/>
      <c r="C95" s="134"/>
      <c r="D95" s="134"/>
      <c r="E95" s="135">
        <f>SUM(E89:E94)</f>
        <v>0</v>
      </c>
      <c r="F95" s="135"/>
      <c r="G95" s="203">
        <f>SUM(G89:G94)</f>
        <v>0</v>
      </c>
    </row>
    <row r="96" spans="1:16" s="8" customFormat="1" ht="11" customHeight="1" thickBot="1">
      <c r="A96" s="16"/>
      <c r="B96" s="56"/>
      <c r="C96" s="105"/>
      <c r="D96" s="102"/>
      <c r="E96" s="102"/>
      <c r="F96" s="7"/>
      <c r="G96" s="17"/>
      <c r="H96" s="7"/>
      <c r="I96" s="7"/>
      <c r="J96" s="7"/>
      <c r="K96" s="7"/>
      <c r="L96" s="7"/>
      <c r="M96" s="7"/>
      <c r="N96" s="7"/>
      <c r="O96" s="7"/>
      <c r="P96" s="7"/>
    </row>
    <row r="97" spans="1:16" ht="38" customHeight="1" thickBot="1">
      <c r="A97" s="26" t="s">
        <v>165</v>
      </c>
      <c r="B97" s="27" t="s">
        <v>92</v>
      </c>
      <c r="C97" s="136" t="s">
        <v>53</v>
      </c>
      <c r="D97" s="136" t="s">
        <v>54</v>
      </c>
      <c r="E97" s="137" t="s">
        <v>55</v>
      </c>
      <c r="F97" s="20"/>
      <c r="G97" s="20"/>
    </row>
    <row r="98" spans="1:16" ht="23" customHeight="1" thickBot="1">
      <c r="A98" s="84" t="str">
        <f>'BASE PAX'!A73</f>
        <v xml:space="preserve">QUINCHO DAY USE / CABIN </v>
      </c>
      <c r="B98" s="279">
        <f>'BASE PAX'!B73</f>
        <v>0</v>
      </c>
      <c r="C98" s="138">
        <f>'BASE PAX'!C73</f>
        <v>15000</v>
      </c>
      <c r="D98" s="138">
        <f>C98+(C98*0.2)</f>
        <v>18000</v>
      </c>
      <c r="E98" s="139">
        <f>D98*B98</f>
        <v>0</v>
      </c>
      <c r="F98" s="19"/>
      <c r="G98" s="17"/>
    </row>
    <row r="99" spans="1:16" ht="42" customHeight="1" thickBot="1">
      <c r="A99" s="26" t="s">
        <v>104</v>
      </c>
      <c r="B99" s="86"/>
      <c r="C99" s="140"/>
      <c r="D99" s="140"/>
      <c r="E99" s="141">
        <f>E98</f>
        <v>0</v>
      </c>
    </row>
    <row r="100" spans="1:16" s="6" customFormat="1" ht="20" customHeight="1">
      <c r="A100" s="28"/>
      <c r="B100" s="52"/>
      <c r="C100" s="11"/>
      <c r="D100" s="11"/>
      <c r="E100" s="11"/>
      <c r="F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9" customHeight="1"/>
  </sheetData>
  <sheetProtection sheet="1" objects="1" scenarios="1"/>
  <mergeCells count="17">
    <mergeCell ref="A11:A12"/>
    <mergeCell ref="A28:D28"/>
    <mergeCell ref="B5:C5"/>
    <mergeCell ref="F20:F21"/>
    <mergeCell ref="B11:B12"/>
    <mergeCell ref="D11:D12"/>
    <mergeCell ref="B9:C9"/>
    <mergeCell ref="D9:E9"/>
    <mergeCell ref="B8:C8"/>
    <mergeCell ref="D8:E8"/>
    <mergeCell ref="D6:E6"/>
    <mergeCell ref="B6:C6"/>
    <mergeCell ref="I11:K11"/>
    <mergeCell ref="D7:E7"/>
    <mergeCell ref="B7:C7"/>
    <mergeCell ref="F11:G13"/>
    <mergeCell ref="G20:G21"/>
  </mergeCells>
  <pageMargins left="0.7" right="0.7" top="0.75" bottom="0.75" header="0.3" footer="0.3"/>
  <pageSetup paperSize="9"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9"/>
  <dimension ref="A1:P101"/>
  <sheetViews>
    <sheetView topLeftCell="A2" zoomScale="84" zoomScaleNormal="84" workbookViewId="0">
      <selection activeCell="C92" sqref="C92"/>
    </sheetView>
  </sheetViews>
  <sheetFormatPr baseColWidth="10" defaultColWidth="11" defaultRowHeight="17"/>
  <cols>
    <col min="1" max="1" width="48.796875" style="7" customWidth="1"/>
    <col min="2" max="2" width="23.796875" style="52" customWidth="1"/>
    <col min="3" max="3" width="24" style="7" customWidth="1"/>
    <col min="4" max="4" width="22.796875" style="12" customWidth="1"/>
    <col min="5" max="5" width="22.19921875" style="11" customWidth="1"/>
    <col min="6" max="6" width="36.3984375" style="7" customWidth="1"/>
    <col min="7" max="7" width="27.796875" style="6" customWidth="1"/>
    <col min="8" max="8" width="32.3984375" style="7" customWidth="1"/>
    <col min="9" max="9" width="23.59765625" style="7" customWidth="1"/>
    <col min="10" max="10" width="25.19921875" style="7" customWidth="1"/>
    <col min="11" max="11" width="28.796875" style="7" customWidth="1"/>
    <col min="12" max="12" width="36.19921875" style="7" customWidth="1"/>
    <col min="13" max="28" width="11" style="7" customWidth="1"/>
    <col min="29" max="16384" width="11" style="7"/>
  </cols>
  <sheetData>
    <row r="1" spans="1:16" ht="22" hidden="1" customHeight="1" thickBot="1"/>
    <row r="2" spans="1:16" ht="7" customHeight="1">
      <c r="D2" s="13"/>
    </row>
    <row r="3" spans="1:16" s="10" customFormat="1" ht="1" customHeight="1">
      <c r="A3" s="14"/>
      <c r="B3" s="53"/>
      <c r="C3" s="15" t="s">
        <v>11</v>
      </c>
      <c r="D3" s="15"/>
      <c r="E3" s="15"/>
      <c r="G3" s="9"/>
    </row>
    <row r="4" spans="1:16" s="10" customFormat="1" ht="19" customHeight="1">
      <c r="A4" s="14"/>
      <c r="B4" s="53"/>
      <c r="C4" s="15"/>
      <c r="D4" s="15"/>
      <c r="E4" s="15"/>
      <c r="G4" s="9"/>
    </row>
    <row r="5" spans="1:16" s="10" customFormat="1" ht="50" customHeight="1">
      <c r="A5" s="54" t="s">
        <v>129</v>
      </c>
      <c r="B5" s="674">
        <v>3</v>
      </c>
      <c r="C5" s="675"/>
      <c r="D5" s="277" t="s">
        <v>14</v>
      </c>
      <c r="E5" s="277"/>
      <c r="F5" s="278"/>
      <c r="G5" s="9"/>
    </row>
    <row r="6" spans="1:16" s="8" customFormat="1" ht="37" customHeight="1">
      <c r="A6" s="54" t="s">
        <v>130</v>
      </c>
      <c r="B6" s="683">
        <v>2</v>
      </c>
      <c r="C6" s="684"/>
      <c r="D6" s="682" t="s">
        <v>131</v>
      </c>
      <c r="E6" s="661"/>
      <c r="F6" s="106">
        <f>D21</f>
        <v>0</v>
      </c>
      <c r="G6" s="9"/>
      <c r="H6" s="10"/>
    </row>
    <row r="7" spans="1:16" s="8" customFormat="1" ht="33" customHeight="1">
      <c r="A7" s="55" t="s">
        <v>132</v>
      </c>
      <c r="B7" s="662">
        <f>CALENDAR!C2</f>
        <v>0</v>
      </c>
      <c r="C7" s="661"/>
      <c r="D7" s="660" t="s">
        <v>133</v>
      </c>
      <c r="E7" s="661"/>
      <c r="F7" s="107">
        <f>SUM(F12:F20)</f>
        <v>0</v>
      </c>
      <c r="G7" s="9"/>
      <c r="H7" s="10"/>
    </row>
    <row r="8" spans="1:16" s="8" customFormat="1" ht="31" customHeight="1">
      <c r="A8" s="54" t="s">
        <v>134</v>
      </c>
      <c r="B8" s="680">
        <f>CALENDAR!C3</f>
        <v>0</v>
      </c>
      <c r="C8" s="661"/>
      <c r="D8" s="681" t="s">
        <v>135</v>
      </c>
      <c r="E8" s="661"/>
      <c r="F8" s="108">
        <f>F6-F7</f>
        <v>0</v>
      </c>
      <c r="G8" s="9"/>
      <c r="H8" s="10"/>
    </row>
    <row r="9" spans="1:16" s="8" customFormat="1" ht="32" customHeight="1">
      <c r="A9" s="55" t="s">
        <v>136</v>
      </c>
      <c r="B9" s="678">
        <f>CALENDAR!J2</f>
        <v>0</v>
      </c>
      <c r="C9" s="661"/>
      <c r="D9" s="679" t="s">
        <v>137</v>
      </c>
      <c r="E9" s="661"/>
      <c r="F9" s="1"/>
      <c r="G9" s="9"/>
      <c r="H9" s="10"/>
    </row>
    <row r="10" spans="1:16" s="8" customFormat="1" ht="30" customHeight="1" thickBot="1">
      <c r="A10" s="16"/>
      <c r="B10" s="56"/>
      <c r="C10" s="6"/>
      <c r="D10" s="7"/>
      <c r="E10" s="7"/>
      <c r="F10" s="7"/>
      <c r="G10" s="17"/>
      <c r="H10" s="7"/>
      <c r="I10" s="7"/>
      <c r="J10" s="7"/>
      <c r="K10" s="7"/>
      <c r="L10" s="7"/>
      <c r="M10" s="7"/>
      <c r="N10" s="7"/>
      <c r="O10" s="7"/>
      <c r="P10" s="7"/>
    </row>
    <row r="11" spans="1:16" s="6" customFormat="1" ht="44" customHeight="1" thickBot="1">
      <c r="A11" s="671" t="s">
        <v>138</v>
      </c>
      <c r="B11" s="677" t="s">
        <v>139</v>
      </c>
      <c r="C11" s="57" t="s">
        <v>140</v>
      </c>
      <c r="D11" s="677" t="s">
        <v>141</v>
      </c>
      <c r="E11" s="7"/>
      <c r="F11" s="738">
        <f>E5</f>
        <v>0</v>
      </c>
      <c r="G11" s="664"/>
      <c r="H11" s="7"/>
      <c r="I11" s="658" t="s">
        <v>142</v>
      </c>
      <c r="J11" s="659"/>
      <c r="K11" s="659"/>
      <c r="L11" s="7"/>
      <c r="M11" s="7"/>
      <c r="N11" s="7"/>
      <c r="O11" s="7"/>
      <c r="P11" s="7"/>
    </row>
    <row r="12" spans="1:16" s="6" customFormat="1" ht="32" customHeight="1">
      <c r="A12" s="659"/>
      <c r="B12" s="659"/>
      <c r="C12" s="58">
        <v>0.05</v>
      </c>
      <c r="D12" s="659"/>
      <c r="E12" s="7"/>
      <c r="F12" s="665"/>
      <c r="G12" s="666"/>
      <c r="H12" s="7"/>
      <c r="I12" s="59" t="s">
        <v>126</v>
      </c>
      <c r="J12" s="60" t="s">
        <v>143</v>
      </c>
      <c r="K12" s="60" t="s">
        <v>144</v>
      </c>
      <c r="L12" s="7"/>
      <c r="M12" s="7"/>
      <c r="N12" s="7"/>
      <c r="O12" s="7"/>
      <c r="P12" s="7"/>
    </row>
    <row r="13" spans="1:16" ht="22" customHeight="1" thickBot="1">
      <c r="A13" s="61" t="s">
        <v>15</v>
      </c>
      <c r="B13" s="109">
        <f>G28</f>
        <v>0</v>
      </c>
      <c r="C13" s="109">
        <f t="shared" ref="C13:C20" si="0">B13*$C$12</f>
        <v>0</v>
      </c>
      <c r="D13" s="109">
        <f t="shared" ref="D13:D20" si="1">B13+(B13*$C$12)</f>
        <v>0</v>
      </c>
      <c r="E13" s="7"/>
      <c r="F13" s="667"/>
      <c r="G13" s="668"/>
      <c r="I13" s="3"/>
      <c r="J13" s="4"/>
      <c r="K13" s="5"/>
    </row>
    <row r="14" spans="1:16" s="6" customFormat="1" ht="20" customHeight="1">
      <c r="A14" s="62" t="s">
        <v>16</v>
      </c>
      <c r="B14" s="110">
        <f>J49</f>
        <v>0</v>
      </c>
      <c r="C14" s="110">
        <f t="shared" si="0"/>
        <v>0</v>
      </c>
      <c r="D14" s="110">
        <f t="shared" si="1"/>
        <v>0</v>
      </c>
      <c r="E14" s="7"/>
      <c r="F14" s="271" t="str">
        <f t="shared" ref="F14:F19" si="2">A14</f>
        <v>2.FOOD</v>
      </c>
      <c r="G14" s="261">
        <f>G49</f>
        <v>0</v>
      </c>
      <c r="H14" s="7"/>
      <c r="I14" s="3"/>
      <c r="J14" s="4"/>
      <c r="K14" s="5"/>
      <c r="L14" s="7"/>
      <c r="M14" s="7"/>
      <c r="N14" s="7"/>
      <c r="O14" s="7"/>
      <c r="P14" s="7"/>
    </row>
    <row r="15" spans="1:16" s="6" customFormat="1" ht="20" customHeight="1">
      <c r="A15" s="63" t="s">
        <v>17</v>
      </c>
      <c r="B15" s="111">
        <f>E59</f>
        <v>0</v>
      </c>
      <c r="C15" s="111">
        <f t="shared" si="0"/>
        <v>0</v>
      </c>
      <c r="D15" s="111">
        <f t="shared" si="1"/>
        <v>0</v>
      </c>
      <c r="E15" s="7"/>
      <c r="F15" s="272" t="str">
        <f t="shared" si="2"/>
        <v>3.DRINKS</v>
      </c>
      <c r="G15" s="262">
        <f>G59</f>
        <v>0</v>
      </c>
      <c r="H15" s="7"/>
      <c r="I15" s="3"/>
      <c r="J15" s="4"/>
      <c r="K15" s="5"/>
      <c r="L15" s="7"/>
      <c r="M15" s="7"/>
      <c r="N15" s="7"/>
      <c r="O15" s="7"/>
      <c r="P15" s="7"/>
    </row>
    <row r="16" spans="1:16" s="6" customFormat="1" ht="20" customHeight="1">
      <c r="A16" s="55" t="s">
        <v>18</v>
      </c>
      <c r="B16" s="112">
        <f>$E$72</f>
        <v>0</v>
      </c>
      <c r="C16" s="112">
        <f t="shared" si="0"/>
        <v>0</v>
      </c>
      <c r="D16" s="112">
        <f t="shared" si="1"/>
        <v>0</v>
      </c>
      <c r="E16" s="7"/>
      <c r="F16" s="273" t="str">
        <f t="shared" si="2"/>
        <v>4. ACTIVITIES</v>
      </c>
      <c r="G16" s="263">
        <f>G72</f>
        <v>0</v>
      </c>
      <c r="H16" s="7"/>
      <c r="I16" s="3"/>
      <c r="J16" s="4"/>
      <c r="K16" s="5"/>
      <c r="L16" s="7"/>
      <c r="M16" s="7"/>
      <c r="N16" s="7"/>
      <c r="O16" s="7"/>
      <c r="P16" s="7"/>
    </row>
    <row r="17" spans="1:16" s="6" customFormat="1" ht="20" customHeight="1">
      <c r="A17" s="63" t="s">
        <v>19</v>
      </c>
      <c r="B17" s="111">
        <f>$E$80</f>
        <v>0</v>
      </c>
      <c r="C17" s="111">
        <f t="shared" si="0"/>
        <v>0</v>
      </c>
      <c r="D17" s="111">
        <f t="shared" si="1"/>
        <v>0</v>
      </c>
      <c r="E17" s="7"/>
      <c r="F17" s="274" t="str">
        <f t="shared" si="2"/>
        <v>5.TRANSPORT</v>
      </c>
      <c r="G17" s="174">
        <f>G80</f>
        <v>0</v>
      </c>
      <c r="H17" s="7"/>
      <c r="I17" s="3"/>
      <c r="J17" s="4"/>
      <c r="K17" s="5"/>
      <c r="L17" s="7"/>
      <c r="M17" s="7"/>
      <c r="N17" s="7"/>
      <c r="O17" s="7"/>
      <c r="P17" s="7"/>
    </row>
    <row r="18" spans="1:16" s="6" customFormat="1" ht="20" customHeight="1">
      <c r="A18" s="64" t="s">
        <v>20</v>
      </c>
      <c r="B18" s="113">
        <f>$E$86</f>
        <v>0</v>
      </c>
      <c r="C18" s="113">
        <f t="shared" si="0"/>
        <v>0</v>
      </c>
      <c r="D18" s="113">
        <f t="shared" si="1"/>
        <v>0</v>
      </c>
      <c r="E18" s="10"/>
      <c r="F18" s="275" t="str">
        <f t="shared" si="2"/>
        <v>6.EXPERIENCES</v>
      </c>
      <c r="G18" s="264">
        <f>G86</f>
        <v>0</v>
      </c>
      <c r="H18" s="7"/>
      <c r="I18" s="3"/>
      <c r="J18" s="4"/>
      <c r="K18" s="5"/>
      <c r="L18" s="7"/>
      <c r="M18" s="7"/>
      <c r="N18" s="7"/>
      <c r="O18" s="7"/>
      <c r="P18" s="7"/>
    </row>
    <row r="19" spans="1:16" s="6" customFormat="1" ht="20" customHeight="1">
      <c r="A19" s="65" t="s">
        <v>21</v>
      </c>
      <c r="B19" s="114">
        <f>$E$95</f>
        <v>0</v>
      </c>
      <c r="C19" s="114">
        <f t="shared" si="0"/>
        <v>0</v>
      </c>
      <c r="D19" s="114">
        <f t="shared" si="1"/>
        <v>0</v>
      </c>
      <c r="E19" s="7"/>
      <c r="F19" s="276" t="str">
        <f t="shared" si="2"/>
        <v>7.EXTRAS</v>
      </c>
      <c r="G19" s="151">
        <f>G95</f>
        <v>0</v>
      </c>
      <c r="H19" s="7"/>
      <c r="I19" s="3"/>
      <c r="J19" s="4"/>
      <c r="K19" s="5"/>
      <c r="L19" s="7"/>
      <c r="M19" s="7"/>
      <c r="N19" s="7"/>
      <c r="O19" s="7"/>
      <c r="P19" s="7"/>
    </row>
    <row r="20" spans="1:16" s="6" customFormat="1" ht="20" customHeight="1" thickBot="1">
      <c r="A20" s="66" t="s">
        <v>22</v>
      </c>
      <c r="B20" s="115">
        <f>$E$99</f>
        <v>0</v>
      </c>
      <c r="C20" s="115">
        <f t="shared" si="0"/>
        <v>0</v>
      </c>
      <c r="D20" s="115">
        <f t="shared" si="1"/>
        <v>0</v>
      </c>
      <c r="E20" s="7"/>
      <c r="F20" s="676" t="s">
        <v>145</v>
      </c>
      <c r="G20" s="669">
        <f>G14+G15+G16+G17+G18+G19</f>
        <v>0</v>
      </c>
      <c r="H20" s="7"/>
      <c r="I20" s="3"/>
      <c r="J20" s="4"/>
      <c r="K20" s="5"/>
      <c r="L20" s="7"/>
      <c r="M20" s="7"/>
      <c r="N20" s="7"/>
      <c r="O20" s="7"/>
      <c r="P20" s="7"/>
    </row>
    <row r="21" spans="1:16" ht="35" customHeight="1" thickBot="1">
      <c r="A21" s="67" t="s">
        <v>146</v>
      </c>
      <c r="B21" s="116">
        <f>SUM(B13:B20)</f>
        <v>0</v>
      </c>
      <c r="C21" s="116"/>
      <c r="D21" s="116">
        <f>SUM(D13:D20)</f>
        <v>0</v>
      </c>
      <c r="E21" s="51"/>
      <c r="F21" s="670"/>
      <c r="G21" s="670"/>
    </row>
    <row r="22" spans="1:16" s="8" customFormat="1" ht="11" customHeight="1" thickBot="1">
      <c r="A22" s="16"/>
      <c r="B22" s="56"/>
      <c r="C22" s="6"/>
      <c r="D22" s="7"/>
      <c r="E22" s="7"/>
      <c r="F22" s="7"/>
      <c r="G22" s="17"/>
      <c r="H22" s="7"/>
      <c r="I22" s="7"/>
      <c r="J22" s="7"/>
      <c r="K22" s="7"/>
      <c r="L22" s="7"/>
      <c r="M22" s="7"/>
      <c r="N22" s="7"/>
      <c r="O22" s="7"/>
      <c r="P22" s="7"/>
    </row>
    <row r="23" spans="1:16" ht="44" customHeight="1" thickBot="1">
      <c r="A23" s="68" t="s">
        <v>114</v>
      </c>
      <c r="B23" s="69" t="s">
        <v>52</v>
      </c>
      <c r="C23" s="69" t="s">
        <v>147</v>
      </c>
      <c r="D23" s="69" t="s">
        <v>148</v>
      </c>
      <c r="E23" s="70" t="s">
        <v>149</v>
      </c>
      <c r="F23" s="70" t="s">
        <v>150</v>
      </c>
      <c r="G23" s="70" t="s">
        <v>151</v>
      </c>
    </row>
    <row r="24" spans="1:16" ht="20" customHeight="1">
      <c r="A24" s="71" t="s">
        <v>174</v>
      </c>
      <c r="B24" s="93">
        <v>0</v>
      </c>
      <c r="C24" s="117">
        <f>398381.8</f>
        <v>398381.8</v>
      </c>
      <c r="D24" s="118"/>
      <c r="E24" s="119">
        <f>(C24+D24)*$B$9*B24</f>
        <v>0</v>
      </c>
      <c r="F24" s="2">
        <v>0</v>
      </c>
      <c r="G24" s="119">
        <f>E24-(E24*F24)</f>
        <v>0</v>
      </c>
    </row>
    <row r="25" spans="1:16" ht="20" customHeight="1">
      <c r="A25" s="71" t="s">
        <v>175</v>
      </c>
      <c r="B25" s="93">
        <v>1</v>
      </c>
      <c r="C25" s="117">
        <f>398381.8</f>
        <v>398381.8</v>
      </c>
      <c r="D25" s="118">
        <v>50000</v>
      </c>
      <c r="E25" s="119">
        <f>(C25+D25)*$B$9*B25</f>
        <v>0</v>
      </c>
      <c r="F25" s="2">
        <v>0</v>
      </c>
      <c r="G25" s="119">
        <f>E25-(E25*F25)</f>
        <v>0</v>
      </c>
    </row>
    <row r="26" spans="1:16" ht="20" customHeight="1">
      <c r="A26" s="71" t="s">
        <v>176</v>
      </c>
      <c r="B26" s="93">
        <v>0</v>
      </c>
      <c r="C26" s="117">
        <f>358543.62</f>
        <v>358543.62</v>
      </c>
      <c r="D26" s="118"/>
      <c r="E26" s="119">
        <f>(C26+D26)*$B$9*B26</f>
        <v>0</v>
      </c>
      <c r="F26" s="2">
        <v>0</v>
      </c>
      <c r="G26" s="119">
        <f>E26-(E26*F26)</f>
        <v>0</v>
      </c>
    </row>
    <row r="27" spans="1:16" ht="20" customHeight="1" thickBot="1">
      <c r="A27" s="71" t="s">
        <v>177</v>
      </c>
      <c r="B27" s="93">
        <v>0</v>
      </c>
      <c r="C27" s="117">
        <f>358543.62</f>
        <v>358543.62</v>
      </c>
      <c r="D27" s="118">
        <v>50000</v>
      </c>
      <c r="E27" s="119">
        <f>(C27+D27)*$B$9*B27</f>
        <v>0</v>
      </c>
      <c r="F27" s="2">
        <v>0</v>
      </c>
      <c r="G27" s="119">
        <f>E27-(E27*F27)</f>
        <v>0</v>
      </c>
    </row>
    <row r="28" spans="1:16" ht="29" customHeight="1" thickBot="1">
      <c r="A28" s="672" t="s">
        <v>156</v>
      </c>
      <c r="B28" s="673"/>
      <c r="C28" s="673"/>
      <c r="D28" s="673"/>
      <c r="E28" s="72"/>
      <c r="F28" s="73"/>
      <c r="G28" s="120">
        <f>SUM(G24:G27)</f>
        <v>0</v>
      </c>
    </row>
    <row r="29" spans="1:16" s="8" customFormat="1" ht="11" customHeight="1" thickBot="1">
      <c r="A29" s="16"/>
      <c r="B29" s="56"/>
      <c r="C29" s="6"/>
      <c r="D29" s="7"/>
      <c r="E29" s="7"/>
      <c r="F29" s="7"/>
      <c r="G29" s="17"/>
      <c r="H29" s="7"/>
      <c r="I29" s="7"/>
      <c r="J29" s="7"/>
      <c r="K29" s="7"/>
      <c r="L29" s="7"/>
      <c r="M29" s="7"/>
      <c r="N29" s="7"/>
      <c r="O29" s="7"/>
      <c r="P29" s="7"/>
    </row>
    <row r="30" spans="1:16" s="10" customFormat="1" ht="40" customHeight="1" thickBot="1">
      <c r="A30" s="18" t="s">
        <v>51</v>
      </c>
      <c r="B30" s="159" t="s">
        <v>52</v>
      </c>
      <c r="C30" s="160" t="s">
        <v>53</v>
      </c>
      <c r="D30" s="153" t="s">
        <v>54</v>
      </c>
      <c r="E30" s="149" t="s">
        <v>157</v>
      </c>
      <c r="F30" s="103" t="s">
        <v>158</v>
      </c>
      <c r="G30" s="147" t="s">
        <v>159</v>
      </c>
    </row>
    <row r="31" spans="1:16" ht="20" customHeight="1" thickBot="1">
      <c r="A31" s="154" t="str">
        <f>'BASE PAX'!A6</f>
        <v>BREAKFAST</v>
      </c>
      <c r="B31" s="284">
        <f>(B5*B9*'BASE PAX'!G6)+('BASE PAX'!H6*B6*B9)</f>
        <v>0</v>
      </c>
      <c r="C31" s="121"/>
      <c r="D31" s="144"/>
      <c r="E31" s="283"/>
      <c r="F31" s="122">
        <f t="shared" ref="F31:F46" si="3">B31*C31</f>
        <v>0</v>
      </c>
      <c r="G31" s="325">
        <f>0.2*B31</f>
        <v>0</v>
      </c>
      <c r="H31" s="354" t="str">
        <f>'BASE PAX'!A6</f>
        <v>BREAKFAST</v>
      </c>
      <c r="I31" s="355">
        <f>B31</f>
        <v>0</v>
      </c>
    </row>
    <row r="32" spans="1:16" ht="20" customHeight="1">
      <c r="A32" s="155" t="str">
        <f>'BASE PAX'!A7</f>
        <v>LUNCH 1</v>
      </c>
      <c r="B32" s="89">
        <f>($B$5+($B$6*0.5))*'BASE PAX'!B7</f>
        <v>0</v>
      </c>
      <c r="C32" s="123">
        <f>'BASE PAX'!C7</f>
        <v>40000</v>
      </c>
      <c r="D32" s="125">
        <f>'BASE PAX'!D7</f>
        <v>48000</v>
      </c>
      <c r="E32" s="151">
        <f t="shared" ref="E32:E46" si="4">D32*B32</f>
        <v>0</v>
      </c>
      <c r="F32" s="124">
        <f t="shared" si="3"/>
        <v>0</v>
      </c>
      <c r="G32" s="146">
        <f t="shared" ref="G32:G46" si="5">E32-F32</f>
        <v>0</v>
      </c>
      <c r="H32" s="294"/>
      <c r="I32" s="295"/>
    </row>
    <row r="33" spans="1:11" ht="20" customHeight="1">
      <c r="A33" s="155" t="str">
        <f>'BASE PAX'!A8</f>
        <v>LUNCH 2</v>
      </c>
      <c r="B33" s="89">
        <f>($B$5+($B$6*0.5))*'BASE PAX'!B8</f>
        <v>0</v>
      </c>
      <c r="C33" s="123">
        <f>'BASE PAX'!C8</f>
        <v>40000</v>
      </c>
      <c r="D33" s="125">
        <f>'BASE PAX'!D8</f>
        <v>48000</v>
      </c>
      <c r="E33" s="151">
        <f t="shared" si="4"/>
        <v>0</v>
      </c>
      <c r="F33" s="124">
        <f t="shared" si="3"/>
        <v>0</v>
      </c>
      <c r="G33" s="146">
        <f t="shared" si="5"/>
        <v>0</v>
      </c>
      <c r="H33" s="294"/>
      <c r="I33" s="295"/>
    </row>
    <row r="34" spans="1:11" ht="20" customHeight="1">
      <c r="A34" s="155" t="str">
        <f>'BASE PAX'!A9</f>
        <v>LUNCH 3</v>
      </c>
      <c r="B34" s="89">
        <f>($B$5+($B$6*0.5))*'BASE PAX'!B9</f>
        <v>0</v>
      </c>
      <c r="C34" s="123">
        <f>'BASE PAX'!C9</f>
        <v>40000</v>
      </c>
      <c r="D34" s="125">
        <f>'BASE PAX'!D9</f>
        <v>48000</v>
      </c>
      <c r="E34" s="151">
        <f t="shared" si="4"/>
        <v>0</v>
      </c>
      <c r="F34" s="124">
        <f t="shared" si="3"/>
        <v>0</v>
      </c>
      <c r="G34" s="146">
        <f t="shared" si="5"/>
        <v>0</v>
      </c>
      <c r="H34" s="294"/>
      <c r="I34" s="295"/>
    </row>
    <row r="35" spans="1:11" ht="20" customHeight="1">
      <c r="A35" s="155" t="str">
        <f>'BASE PAX'!A10</f>
        <v>LUNCH 4</v>
      </c>
      <c r="B35" s="89">
        <f>($B$5+($B$6*0.5))*'BASE PAX'!B10</f>
        <v>0</v>
      </c>
      <c r="C35" s="123">
        <f>'BASE PAX'!C10</f>
        <v>45000</v>
      </c>
      <c r="D35" s="125">
        <f>'BASE PAX'!D10</f>
        <v>54000</v>
      </c>
      <c r="E35" s="151">
        <f t="shared" si="4"/>
        <v>0</v>
      </c>
      <c r="F35" s="124">
        <f t="shared" si="3"/>
        <v>0</v>
      </c>
      <c r="G35" s="146">
        <f t="shared" si="5"/>
        <v>0</v>
      </c>
      <c r="H35" s="294"/>
      <c r="I35" s="295"/>
    </row>
    <row r="36" spans="1:11" ht="20" customHeight="1">
      <c r="A36" s="155" t="str">
        <f>'BASE PAX'!A11</f>
        <v>LUNCH 5</v>
      </c>
      <c r="B36" s="89">
        <f>($B$5+($B$6*0.6))*'BASE PAX'!B11</f>
        <v>0</v>
      </c>
      <c r="C36" s="123">
        <f>'BASE PAX'!C11</f>
        <v>50000</v>
      </c>
      <c r="D36" s="125">
        <f>'BASE PAX'!D11</f>
        <v>60000</v>
      </c>
      <c r="E36" s="151">
        <f t="shared" si="4"/>
        <v>0</v>
      </c>
      <c r="F36" s="124">
        <f t="shared" si="3"/>
        <v>0</v>
      </c>
      <c r="G36" s="146">
        <f t="shared" si="5"/>
        <v>0</v>
      </c>
      <c r="H36" s="294"/>
      <c r="I36" s="295"/>
    </row>
    <row r="37" spans="1:11" ht="20" customHeight="1">
      <c r="A37" s="155" t="str">
        <f>'BASE PAX'!A12</f>
        <v>LUNCH 6</v>
      </c>
      <c r="B37" s="89">
        <f>($B$5+($B$6*0.5))*'BASE PAX'!B12</f>
        <v>0</v>
      </c>
      <c r="C37" s="123">
        <f>'BASE PAX'!C12</f>
        <v>0</v>
      </c>
      <c r="D37" s="125">
        <f>'BASE PAX'!D12</f>
        <v>0</v>
      </c>
      <c r="E37" s="151">
        <f t="shared" si="4"/>
        <v>0</v>
      </c>
      <c r="F37" s="124">
        <f t="shared" si="3"/>
        <v>0</v>
      </c>
      <c r="G37" s="146">
        <f t="shared" si="5"/>
        <v>0</v>
      </c>
      <c r="H37" s="294"/>
      <c r="I37" s="295"/>
    </row>
    <row r="38" spans="1:11" ht="20" customHeight="1">
      <c r="A38" s="155" t="str">
        <f>'BASE PAX'!A13</f>
        <v>LUNCH 7</v>
      </c>
      <c r="B38" s="89">
        <f>($B$5+($B$6*0.5))*'BASE PAX'!B13</f>
        <v>0</v>
      </c>
      <c r="C38" s="123">
        <f>'BASE PAX'!C13</f>
        <v>5000</v>
      </c>
      <c r="D38" s="125">
        <f>'BASE PAX'!D13</f>
        <v>6000</v>
      </c>
      <c r="E38" s="151">
        <f t="shared" si="4"/>
        <v>0</v>
      </c>
      <c r="F38" s="124">
        <f t="shared" si="3"/>
        <v>0</v>
      </c>
      <c r="G38" s="146">
        <f t="shared" si="5"/>
        <v>0</v>
      </c>
      <c r="H38" s="294"/>
      <c r="I38" s="295"/>
    </row>
    <row r="39" spans="1:11" ht="20" customHeight="1">
      <c r="A39" s="156" t="str">
        <f>'BASE PAX'!A14</f>
        <v>SNACKS</v>
      </c>
      <c r="B39" s="90">
        <f>($B$5+$B$6)*'BASE PAX'!B14</f>
        <v>0</v>
      </c>
      <c r="C39" s="125">
        <f>'BASE PAX'!C14</f>
        <v>8000</v>
      </c>
      <c r="D39" s="145">
        <f>'BASE PAX'!D14</f>
        <v>9600</v>
      </c>
      <c r="E39" s="150">
        <f t="shared" si="4"/>
        <v>0</v>
      </c>
      <c r="F39" s="122">
        <f t="shared" si="3"/>
        <v>0</v>
      </c>
      <c r="G39" s="146">
        <f t="shared" si="5"/>
        <v>0</v>
      </c>
      <c r="H39" s="294"/>
      <c r="I39" s="295"/>
    </row>
    <row r="40" spans="1:11" ht="20" customHeight="1">
      <c r="A40" s="155" t="str">
        <f>'BASE PAX'!A15</f>
        <v>DINNER 1</v>
      </c>
      <c r="B40" s="89">
        <f>($B$5+($B$6*0.6))*'BASE PAX'!B15</f>
        <v>0</v>
      </c>
      <c r="C40" s="123">
        <f>'BASE PAX'!C15</f>
        <v>70000</v>
      </c>
      <c r="D40" s="125">
        <f>'BASE PAX'!D15</f>
        <v>84000</v>
      </c>
      <c r="E40" s="151">
        <f t="shared" si="4"/>
        <v>0</v>
      </c>
      <c r="F40" s="124">
        <f t="shared" si="3"/>
        <v>0</v>
      </c>
      <c r="G40" s="146">
        <f t="shared" si="5"/>
        <v>0</v>
      </c>
      <c r="H40" s="294"/>
      <c r="I40" s="295"/>
    </row>
    <row r="41" spans="1:11" ht="20" customHeight="1">
      <c r="A41" s="155" t="str">
        <f>'BASE PAX'!A16</f>
        <v>DINNER 2</v>
      </c>
      <c r="B41" s="89">
        <f>($B$5+($B$6*0.6))*'BASE PAX'!B16</f>
        <v>0</v>
      </c>
      <c r="C41" s="123">
        <f>'BASE PAX'!C16</f>
        <v>25000</v>
      </c>
      <c r="D41" s="125">
        <f>'BASE PAX'!D16</f>
        <v>30000</v>
      </c>
      <c r="E41" s="151">
        <f t="shared" si="4"/>
        <v>0</v>
      </c>
      <c r="F41" s="124">
        <f t="shared" si="3"/>
        <v>0</v>
      </c>
      <c r="G41" s="146">
        <f t="shared" si="5"/>
        <v>0</v>
      </c>
      <c r="H41" s="294"/>
      <c r="I41" s="295"/>
    </row>
    <row r="42" spans="1:11" ht="20" customHeight="1">
      <c r="A42" s="155" t="str">
        <f>'BASE PAX'!A17</f>
        <v>DINNER 3</v>
      </c>
      <c r="B42" s="89">
        <f>($B$5+($B$6*0.6))*'BASE PAX'!B17</f>
        <v>0</v>
      </c>
      <c r="C42" s="123">
        <f>'BASE PAX'!C17</f>
        <v>50000</v>
      </c>
      <c r="D42" s="125">
        <f>'BASE PAX'!D17</f>
        <v>60000</v>
      </c>
      <c r="E42" s="151">
        <f t="shared" si="4"/>
        <v>0</v>
      </c>
      <c r="F42" s="124">
        <f t="shared" si="3"/>
        <v>0</v>
      </c>
      <c r="G42" s="146">
        <f t="shared" si="5"/>
        <v>0</v>
      </c>
      <c r="H42" s="294"/>
      <c r="I42" s="295"/>
    </row>
    <row r="43" spans="1:11" ht="20" customHeight="1">
      <c r="A43" s="155" t="str">
        <f>'BASE PAX'!A18</f>
        <v>DINNER 4</v>
      </c>
      <c r="B43" s="89">
        <f>($B$5+($B$6*0.5))*'BASE PAX'!B18</f>
        <v>0</v>
      </c>
      <c r="C43" s="123">
        <f>'BASE PAX'!C18</f>
        <v>65000</v>
      </c>
      <c r="D43" s="125">
        <f>'BASE PAX'!D18</f>
        <v>78000</v>
      </c>
      <c r="E43" s="151">
        <f t="shared" si="4"/>
        <v>0</v>
      </c>
      <c r="F43" s="124">
        <f t="shared" si="3"/>
        <v>0</v>
      </c>
      <c r="G43" s="146">
        <f t="shared" si="5"/>
        <v>0</v>
      </c>
      <c r="H43" s="294"/>
      <c r="I43" s="295"/>
    </row>
    <row r="44" spans="1:11" ht="20" customHeight="1">
      <c r="A44" s="155" t="str">
        <f>'BASE PAX'!A19</f>
        <v>DINNER 5</v>
      </c>
      <c r="B44" s="89">
        <f>($B$5+($B$6*0.6))*'BASE PAX'!B19</f>
        <v>0</v>
      </c>
      <c r="C44" s="123">
        <f>'BASE PAX'!C19</f>
        <v>75000</v>
      </c>
      <c r="D44" s="125">
        <f>'BASE PAX'!D19</f>
        <v>90000</v>
      </c>
      <c r="E44" s="151">
        <f t="shared" si="4"/>
        <v>0</v>
      </c>
      <c r="F44" s="124">
        <f t="shared" si="3"/>
        <v>0</v>
      </c>
      <c r="G44" s="146">
        <f t="shared" si="5"/>
        <v>0</v>
      </c>
      <c r="H44" s="294"/>
      <c r="I44" s="295"/>
    </row>
    <row r="45" spans="1:11" ht="20" customHeight="1">
      <c r="A45" s="155" t="str">
        <f>'BASE PAX'!A20</f>
        <v>DINNER 6</v>
      </c>
      <c r="B45" s="89">
        <f>($B$5+($B$6*0.5))*'BASE PAX'!B20</f>
        <v>0</v>
      </c>
      <c r="C45" s="123">
        <f>'BASE PAX'!C20</f>
        <v>0</v>
      </c>
      <c r="D45" s="125">
        <f>'BASE PAX'!D20</f>
        <v>0</v>
      </c>
      <c r="E45" s="151">
        <f t="shared" si="4"/>
        <v>0</v>
      </c>
      <c r="F45" s="124">
        <f t="shared" si="3"/>
        <v>0</v>
      </c>
      <c r="G45" s="146">
        <f t="shared" si="5"/>
        <v>0</v>
      </c>
      <c r="H45" s="294"/>
      <c r="I45" s="295"/>
    </row>
    <row r="46" spans="1:11" ht="20" customHeight="1" thickBot="1">
      <c r="A46" s="155" t="str">
        <f>'BASE PAX'!A21</f>
        <v>DINNER 7</v>
      </c>
      <c r="B46" s="89">
        <f>($B$5+($B$6*0.6))*'BASE PAX'!B21</f>
        <v>0</v>
      </c>
      <c r="C46" s="123">
        <f>'BASE PAX'!C21</f>
        <v>75000</v>
      </c>
      <c r="D46" s="125">
        <f>'BASE PAX'!D21</f>
        <v>90000</v>
      </c>
      <c r="E46" s="151">
        <f t="shared" si="4"/>
        <v>0</v>
      </c>
      <c r="F46" s="124">
        <f t="shared" si="3"/>
        <v>0</v>
      </c>
      <c r="G46" s="146">
        <f t="shared" si="5"/>
        <v>0</v>
      </c>
      <c r="H46" s="294"/>
      <c r="I46" s="295"/>
    </row>
    <row r="47" spans="1:11" ht="20" customHeight="1">
      <c r="A47" s="155" t="str">
        <f>'BASE PAX'!A22</f>
        <v>QUANT. TOTAL | PADRAO ALMOÇO</v>
      </c>
      <c r="B47" s="89">
        <f>'BASE PAX'!B22</f>
        <v>0</v>
      </c>
      <c r="C47" s="123"/>
      <c r="D47" s="125"/>
      <c r="E47" s="151"/>
      <c r="F47" s="124"/>
      <c r="G47" s="325">
        <f>0.2*I47</f>
        <v>0</v>
      </c>
      <c r="H47" s="338" t="str">
        <f>'BASE PAX'!A22</f>
        <v>QUANT. TOTAL | PADRAO ALMOÇO</v>
      </c>
      <c r="I47" s="350">
        <f>(B5*B47*'BASE PAX'!G22)+(B6*B47*'BASE PAX'!H22)</f>
        <v>0</v>
      </c>
      <c r="J47" s="328"/>
      <c r="K47" s="329"/>
    </row>
    <row r="48" spans="1:11" ht="20" customHeight="1" thickBot="1">
      <c r="A48" s="163" t="str">
        <f>'BASE PAX'!A23</f>
        <v>QUANT. TOTAL | PADRAO JANTAR</v>
      </c>
      <c r="B48" s="170">
        <f>'BASE PAX'!B23</f>
        <v>0</v>
      </c>
      <c r="C48" s="165"/>
      <c r="D48" s="166"/>
      <c r="E48" s="167"/>
      <c r="F48" s="168"/>
      <c r="G48" s="326">
        <f>0.2*I48</f>
        <v>0</v>
      </c>
      <c r="H48" s="347" t="str">
        <f>'BASE PAX'!A23</f>
        <v>QUANT. TOTAL | PADRAO JANTAR</v>
      </c>
      <c r="I48" s="336">
        <f>(B5*B48*'BASE PAX'!G23)+(B6*B48*'BASE PAX'!H23)</f>
        <v>0</v>
      </c>
      <c r="J48" s="330"/>
      <c r="K48" s="331"/>
    </row>
    <row r="49" spans="1:16" ht="29" customHeight="1" thickBot="1">
      <c r="A49" s="161" t="s">
        <v>72</v>
      </c>
      <c r="B49" s="157"/>
      <c r="C49" s="158"/>
      <c r="D49" s="152"/>
      <c r="E49" s="300">
        <f>SUM(E31:E48)</f>
        <v>0</v>
      </c>
      <c r="F49" s="104">
        <f>SUM(F31:F48)</f>
        <v>0</v>
      </c>
      <c r="G49" s="327">
        <f>SUM(G31:G48)</f>
        <v>0</v>
      </c>
      <c r="H49" s="341" t="s">
        <v>55</v>
      </c>
      <c r="I49" s="343">
        <f>I31+I47+I48</f>
        <v>0</v>
      </c>
      <c r="J49" s="360">
        <f>I49+E49</f>
        <v>0</v>
      </c>
      <c r="K49" s="344" t="s">
        <v>160</v>
      </c>
    </row>
    <row r="50" spans="1:16" s="8" customFormat="1" ht="11" customHeight="1" thickBot="1">
      <c r="A50" s="16"/>
      <c r="B50" s="56"/>
      <c r="C50" s="105"/>
      <c r="D50" s="102"/>
      <c r="E50" s="102"/>
      <c r="F50" s="7"/>
      <c r="G50" s="17"/>
      <c r="H50" s="7"/>
      <c r="I50" s="295"/>
      <c r="J50" s="7"/>
      <c r="K50" s="7"/>
      <c r="L50" s="7"/>
      <c r="M50" s="7"/>
      <c r="N50" s="7"/>
      <c r="O50" s="7"/>
      <c r="P50" s="7"/>
    </row>
    <row r="51" spans="1:16" ht="34" customHeight="1" thickBot="1">
      <c r="A51" s="21" t="s">
        <v>161</v>
      </c>
      <c r="B51" s="207" t="s">
        <v>52</v>
      </c>
      <c r="C51" s="208" t="s">
        <v>53</v>
      </c>
      <c r="D51" s="209" t="s">
        <v>54</v>
      </c>
      <c r="E51" s="172" t="s">
        <v>55</v>
      </c>
      <c r="F51" s="142" t="s">
        <v>158</v>
      </c>
      <c r="G51" s="182" t="s">
        <v>159</v>
      </c>
    </row>
    <row r="52" spans="1:16" ht="20" customHeight="1">
      <c r="A52" s="76" t="str">
        <f>'BASE PAX'!A27</f>
        <v>SUCOS</v>
      </c>
      <c r="B52" s="205">
        <f>'BASE PAX'!B27</f>
        <v>0</v>
      </c>
      <c r="C52" s="193">
        <f>'BASE PAX'!C27</f>
        <v>0</v>
      </c>
      <c r="D52" s="206">
        <f t="shared" ref="D52:D58" si="6">(C52*0.2)+C52</f>
        <v>0</v>
      </c>
      <c r="E52" s="174">
        <f t="shared" ref="E52:E58" si="7">D52*B52</f>
        <v>0</v>
      </c>
      <c r="F52" s="173">
        <f t="shared" ref="F52:F58" si="8">B52*C52</f>
        <v>0</v>
      </c>
      <c r="G52" s="183">
        <f t="shared" ref="G52:G59" si="9">E52-F52</f>
        <v>0</v>
      </c>
    </row>
    <row r="53" spans="1:16" ht="20" customHeight="1">
      <c r="A53" s="76" t="str">
        <f>'BASE PAX'!A28</f>
        <v>SUCOS</v>
      </c>
      <c r="B53" s="205">
        <f>'BASE PAX'!B28</f>
        <v>0</v>
      </c>
      <c r="C53" s="175">
        <f>'BASE PAX'!C28</f>
        <v>0</v>
      </c>
      <c r="D53" s="176">
        <f t="shared" si="6"/>
        <v>0</v>
      </c>
      <c r="E53" s="174">
        <f t="shared" si="7"/>
        <v>0</v>
      </c>
      <c r="F53" s="173">
        <f t="shared" si="8"/>
        <v>0</v>
      </c>
      <c r="G53" s="183">
        <f t="shared" si="9"/>
        <v>0</v>
      </c>
    </row>
    <row r="54" spans="1:16" ht="20" customHeight="1">
      <c r="A54" s="87" t="str">
        <f>'BASE PAX'!A29</f>
        <v>CERVEJAS</v>
      </c>
      <c r="B54" s="205">
        <f>'BASE PAX'!B29</f>
        <v>0</v>
      </c>
      <c r="C54" s="175">
        <f>'BASE PAX'!C29</f>
        <v>2000</v>
      </c>
      <c r="D54" s="176">
        <f t="shared" si="6"/>
        <v>2400</v>
      </c>
      <c r="E54" s="174">
        <f t="shared" si="7"/>
        <v>0</v>
      </c>
      <c r="F54" s="173">
        <f t="shared" si="8"/>
        <v>0</v>
      </c>
      <c r="G54" s="183">
        <f t="shared" si="9"/>
        <v>0</v>
      </c>
    </row>
    <row r="55" spans="1:16" ht="20" customHeight="1">
      <c r="A55" s="87" t="str">
        <f>'BASE PAX'!A30</f>
        <v>VINHOS</v>
      </c>
      <c r="B55" s="205">
        <f>'BASE PAX'!B30</f>
        <v>0</v>
      </c>
      <c r="C55" s="175">
        <f>'BASE PAX'!C30</f>
        <v>8000</v>
      </c>
      <c r="D55" s="176">
        <f t="shared" si="6"/>
        <v>9600</v>
      </c>
      <c r="E55" s="174">
        <f t="shared" si="7"/>
        <v>0</v>
      </c>
      <c r="F55" s="173">
        <f t="shared" si="8"/>
        <v>0</v>
      </c>
      <c r="G55" s="183">
        <f t="shared" si="9"/>
        <v>0</v>
      </c>
    </row>
    <row r="56" spans="1:16" ht="20" customHeight="1">
      <c r="A56" s="87" t="str">
        <f>'BASE PAX'!A31</f>
        <v>DRINKS</v>
      </c>
      <c r="B56" s="205">
        <f>'BASE PAX'!B31</f>
        <v>0</v>
      </c>
      <c r="C56" s="175">
        <f>'BASE PAX'!C31</f>
        <v>15000</v>
      </c>
      <c r="D56" s="176">
        <f t="shared" si="6"/>
        <v>18000</v>
      </c>
      <c r="E56" s="174">
        <f t="shared" si="7"/>
        <v>0</v>
      </c>
      <c r="F56" s="173">
        <f t="shared" si="8"/>
        <v>0</v>
      </c>
      <c r="G56" s="183">
        <f t="shared" si="9"/>
        <v>0</v>
      </c>
    </row>
    <row r="57" spans="1:16" ht="20" customHeight="1">
      <c r="A57" s="87" t="str">
        <f>'BASE PAX'!A32</f>
        <v>COOLER</v>
      </c>
      <c r="B57" s="205">
        <f>'BASE PAX'!B32</f>
        <v>0</v>
      </c>
      <c r="C57" s="175">
        <f>'BASE PAX'!C32</f>
        <v>5000</v>
      </c>
      <c r="D57" s="176">
        <f t="shared" si="6"/>
        <v>6000</v>
      </c>
      <c r="E57" s="174">
        <f t="shared" si="7"/>
        <v>0</v>
      </c>
      <c r="F57" s="173">
        <f t="shared" si="8"/>
        <v>0</v>
      </c>
      <c r="G57" s="183">
        <f t="shared" si="9"/>
        <v>0</v>
      </c>
    </row>
    <row r="58" spans="1:16" ht="20" customHeight="1" thickBot="1">
      <c r="A58" s="180">
        <f>'BASE PAX'!A33</f>
        <v>0</v>
      </c>
      <c r="B58" s="205">
        <f>'BASE PAX'!B33</f>
        <v>0</v>
      </c>
      <c r="C58" s="178">
        <f>'BASE PAX'!C33</f>
        <v>0</v>
      </c>
      <c r="D58" s="179">
        <f t="shared" si="6"/>
        <v>0</v>
      </c>
      <c r="E58" s="184">
        <f t="shared" si="7"/>
        <v>0</v>
      </c>
      <c r="F58" s="185">
        <f t="shared" si="8"/>
        <v>0</v>
      </c>
      <c r="G58" s="186">
        <f t="shared" si="9"/>
        <v>0</v>
      </c>
    </row>
    <row r="59" spans="1:16" ht="48" customHeight="1" thickBot="1">
      <c r="A59" s="21" t="s">
        <v>79</v>
      </c>
      <c r="B59" s="77"/>
      <c r="C59" s="126"/>
      <c r="D59" s="181"/>
      <c r="E59" s="127">
        <f>SUM(E52:E58)</f>
        <v>0</v>
      </c>
      <c r="F59" s="188">
        <f>SUM(F52:F58)</f>
        <v>0</v>
      </c>
      <c r="G59" s="189">
        <f t="shared" si="9"/>
        <v>0</v>
      </c>
    </row>
    <row r="60" spans="1:16" s="8" customFormat="1" ht="11" customHeight="1" thickBot="1">
      <c r="A60" s="16"/>
      <c r="B60" s="56"/>
      <c r="C60" s="105"/>
      <c r="D60" s="102"/>
      <c r="E60" s="102"/>
      <c r="F60" s="7"/>
      <c r="G60" s="17"/>
      <c r="H60" s="7"/>
      <c r="I60" s="7"/>
      <c r="J60" s="7"/>
      <c r="K60" s="7"/>
      <c r="L60" s="7"/>
      <c r="M60" s="7"/>
      <c r="N60" s="7"/>
      <c r="O60" s="7"/>
      <c r="P60" s="7"/>
    </row>
    <row r="61" spans="1:16" s="10" customFormat="1" ht="42" customHeight="1" thickBot="1">
      <c r="A61" s="226" t="s">
        <v>18</v>
      </c>
      <c r="B61" s="227" t="s">
        <v>52</v>
      </c>
      <c r="C61" s="228" t="s">
        <v>53</v>
      </c>
      <c r="D61" s="229" t="s">
        <v>54</v>
      </c>
      <c r="E61" s="229" t="s">
        <v>55</v>
      </c>
      <c r="F61" s="228" t="s">
        <v>158</v>
      </c>
      <c r="G61" s="230" t="s">
        <v>159</v>
      </c>
    </row>
    <row r="62" spans="1:16" ht="20" customHeight="1">
      <c r="A62" s="223" t="str">
        <f>'BASE PAX'!A37</f>
        <v>HOTTUBE</v>
      </c>
      <c r="B62" s="224">
        <f>'BASE PAX'!B37</f>
        <v>0</v>
      </c>
      <c r="C62" s="195">
        <f>'BASE PAX'!C37</f>
        <v>12000</v>
      </c>
      <c r="D62" s="225">
        <f t="shared" ref="D62:D71" si="10">C62*0.2+C62</f>
        <v>14400</v>
      </c>
      <c r="E62" s="225">
        <f t="shared" ref="E62:E71" si="11">D62*B62</f>
        <v>0</v>
      </c>
      <c r="F62" s="195">
        <f t="shared" ref="F62:F72" si="12">B62*C62</f>
        <v>0</v>
      </c>
      <c r="G62" s="194">
        <f t="shared" ref="G62:G72" si="13">E62-F62</f>
        <v>0</v>
      </c>
    </row>
    <row r="63" spans="1:16" ht="20" customHeight="1">
      <c r="A63" s="219" t="str">
        <f>'BASE PAX'!A38</f>
        <v>TREKKING 1/2 DAY</v>
      </c>
      <c r="B63" s="224">
        <f>'BASE PAX'!B38</f>
        <v>0</v>
      </c>
      <c r="C63" s="196">
        <f>'BASE PAX'!C38</f>
        <v>60000</v>
      </c>
      <c r="D63" s="220">
        <f t="shared" si="10"/>
        <v>72000</v>
      </c>
      <c r="E63" s="220">
        <f t="shared" si="11"/>
        <v>0</v>
      </c>
      <c r="F63" s="196">
        <f t="shared" si="12"/>
        <v>0</v>
      </c>
      <c r="G63" s="190">
        <f t="shared" si="13"/>
        <v>0</v>
      </c>
    </row>
    <row r="64" spans="1:16" ht="20" customHeight="1">
      <c r="A64" s="219" t="str">
        <f>'BASE PAX'!A39</f>
        <v>TREKKING FUK DAY</v>
      </c>
      <c r="B64" s="224">
        <f>'BASE PAX'!B39</f>
        <v>0</v>
      </c>
      <c r="C64" s="196">
        <f>'BASE PAX'!C39</f>
        <v>90000</v>
      </c>
      <c r="D64" s="220">
        <f t="shared" si="10"/>
        <v>108000</v>
      </c>
      <c r="E64" s="220">
        <f t="shared" si="11"/>
        <v>0</v>
      </c>
      <c r="F64" s="196">
        <f t="shared" si="12"/>
        <v>0</v>
      </c>
      <c r="G64" s="190">
        <f t="shared" si="13"/>
        <v>0</v>
      </c>
    </row>
    <row r="65" spans="1:16" ht="20" customHeight="1">
      <c r="A65" s="219" t="str">
        <f>'BASE PAX'!A40</f>
        <v>FLOTADA FAMILIAR</v>
      </c>
      <c r="B65" s="224">
        <f>'BASE PAX'!B40</f>
        <v>0</v>
      </c>
      <c r="C65" s="196">
        <f>'BASE PAX'!C40</f>
        <v>60000</v>
      </c>
      <c r="D65" s="220">
        <f t="shared" si="10"/>
        <v>72000</v>
      </c>
      <c r="E65" s="220">
        <f t="shared" si="11"/>
        <v>0</v>
      </c>
      <c r="F65" s="196">
        <f t="shared" si="12"/>
        <v>0</v>
      </c>
      <c r="G65" s="190">
        <f t="shared" si="13"/>
        <v>0</v>
      </c>
    </row>
    <row r="66" spans="1:16" ht="20" customHeight="1">
      <c r="A66" s="219" t="str">
        <f>'BASE PAX'!A41</f>
        <v>RAFTING 1/2 DAY</v>
      </c>
      <c r="B66" s="224">
        <f>'BASE PAX'!B41</f>
        <v>0</v>
      </c>
      <c r="C66" s="196">
        <f>'BASE PAX'!C41</f>
        <v>75000</v>
      </c>
      <c r="D66" s="220">
        <f t="shared" si="10"/>
        <v>90000</v>
      </c>
      <c r="E66" s="220">
        <f t="shared" si="11"/>
        <v>0</v>
      </c>
      <c r="F66" s="196">
        <f t="shared" si="12"/>
        <v>0</v>
      </c>
      <c r="G66" s="190">
        <f t="shared" si="13"/>
        <v>0</v>
      </c>
    </row>
    <row r="67" spans="1:16" ht="20" customHeight="1">
      <c r="A67" s="219" t="str">
        <f>'BASE PAX'!A42</f>
        <v>RAFTING FULL DAY</v>
      </c>
      <c r="B67" s="224">
        <f>'BASE PAX'!B42</f>
        <v>0</v>
      </c>
      <c r="C67" s="196">
        <f>'BASE PAX'!C42</f>
        <v>110000</v>
      </c>
      <c r="D67" s="220">
        <f t="shared" si="10"/>
        <v>132000</v>
      </c>
      <c r="E67" s="220">
        <f t="shared" si="11"/>
        <v>0</v>
      </c>
      <c r="F67" s="196">
        <f t="shared" si="12"/>
        <v>0</v>
      </c>
      <c r="G67" s="190">
        <f t="shared" si="13"/>
        <v>0</v>
      </c>
    </row>
    <row r="68" spans="1:16" ht="20" customHeight="1">
      <c r="A68" s="219" t="str">
        <f>'BASE PAX'!A43</f>
        <v>CABALGADA 1/2 DAy</v>
      </c>
      <c r="B68" s="224">
        <f>'BASE PAX'!B43</f>
        <v>0</v>
      </c>
      <c r="C68" s="196">
        <f>'BASE PAX'!C43</f>
        <v>90000</v>
      </c>
      <c r="D68" s="220">
        <f t="shared" si="10"/>
        <v>108000</v>
      </c>
      <c r="E68" s="220">
        <f t="shared" si="11"/>
        <v>0</v>
      </c>
      <c r="F68" s="196">
        <f t="shared" si="12"/>
        <v>0</v>
      </c>
      <c r="G68" s="190">
        <f t="shared" si="13"/>
        <v>0</v>
      </c>
    </row>
    <row r="69" spans="1:16" ht="20" customHeight="1">
      <c r="A69" s="219" t="str">
        <f>'BASE PAX'!A44</f>
        <v>CABALGADA FULL DAY</v>
      </c>
      <c r="B69" s="224">
        <f>'BASE PAX'!B44</f>
        <v>0</v>
      </c>
      <c r="C69" s="196">
        <f>'BASE PAX'!C44</f>
        <v>140000</v>
      </c>
      <c r="D69" s="220">
        <f t="shared" si="10"/>
        <v>168000</v>
      </c>
      <c r="E69" s="220">
        <f t="shared" si="11"/>
        <v>0</v>
      </c>
      <c r="F69" s="196">
        <f t="shared" si="12"/>
        <v>0</v>
      </c>
      <c r="G69" s="190">
        <f t="shared" si="13"/>
        <v>0</v>
      </c>
    </row>
    <row r="70" spans="1:16" ht="20" customHeight="1">
      <c r="A70" s="219" t="str">
        <f>'BASE PAX'!A45</f>
        <v>LANCHA YELCHO</v>
      </c>
      <c r="B70" s="224">
        <f>'BASE PAX'!B45</f>
        <v>0</v>
      </c>
      <c r="C70" s="196">
        <f>'BASE PAX'!C45</f>
        <v>120000</v>
      </c>
      <c r="D70" s="220">
        <f t="shared" si="10"/>
        <v>144000</v>
      </c>
      <c r="E70" s="220">
        <f t="shared" si="11"/>
        <v>0</v>
      </c>
      <c r="F70" s="196">
        <f t="shared" si="12"/>
        <v>0</v>
      </c>
      <c r="G70" s="190">
        <f t="shared" si="13"/>
        <v>0</v>
      </c>
    </row>
    <row r="71" spans="1:16" ht="20" customHeight="1" thickBot="1">
      <c r="A71" s="221" t="str">
        <f>'BASE PAX'!A46</f>
        <v>RECREACAO INFANTIL 3HS</v>
      </c>
      <c r="B71" s="224">
        <f>'BASE PAX'!B46</f>
        <v>0</v>
      </c>
      <c r="C71" s="197">
        <f>'BASE PAX'!C46</f>
        <v>30000</v>
      </c>
      <c r="D71" s="220">
        <f t="shared" si="10"/>
        <v>36000</v>
      </c>
      <c r="E71" s="222">
        <f t="shared" si="11"/>
        <v>0</v>
      </c>
      <c r="F71" s="197">
        <f t="shared" si="12"/>
        <v>0</v>
      </c>
      <c r="G71" s="192">
        <f t="shared" si="13"/>
        <v>0</v>
      </c>
    </row>
    <row r="72" spans="1:16" ht="48" customHeight="1" thickBot="1">
      <c r="A72" s="22" t="s">
        <v>84</v>
      </c>
      <c r="B72" s="79"/>
      <c r="C72" s="128"/>
      <c r="D72" s="128"/>
      <c r="E72" s="198">
        <f>SUM(E62:E71)</f>
        <v>0</v>
      </c>
      <c r="F72" s="204">
        <f t="shared" si="12"/>
        <v>0</v>
      </c>
      <c r="G72" s="203">
        <f t="shared" si="13"/>
        <v>0</v>
      </c>
    </row>
    <row r="73" spans="1:16" ht="37" customHeight="1" thickBot="1"/>
    <row r="74" spans="1:16" s="8" customFormat="1" ht="36" customHeight="1" thickBot="1">
      <c r="A74" s="23" t="s">
        <v>116</v>
      </c>
      <c r="B74" s="214" t="s">
        <v>52</v>
      </c>
      <c r="C74" s="215" t="s">
        <v>53</v>
      </c>
      <c r="D74" s="153" t="s">
        <v>54</v>
      </c>
      <c r="E74" s="153" t="s">
        <v>55</v>
      </c>
      <c r="F74" s="143" t="s">
        <v>162</v>
      </c>
      <c r="G74" s="147" t="s">
        <v>159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 ht="20" customHeight="1">
      <c r="A75" s="88" t="str">
        <f>'BASE PAX'!A50</f>
        <v>TRANSFER AEROPORTO CHEGADA</v>
      </c>
      <c r="B75" s="211">
        <f>'BASE PAX'!B50</f>
        <v>0</v>
      </c>
      <c r="C75" s="213">
        <f>'BASE PAX'!C50</f>
        <v>80000</v>
      </c>
      <c r="D75" s="231">
        <f>C75*0.2+C75</f>
        <v>96000</v>
      </c>
      <c r="E75" s="231">
        <f>D75*B75</f>
        <v>0</v>
      </c>
      <c r="F75" s="210">
        <f>B75*C75</f>
        <v>0</v>
      </c>
      <c r="G75" s="199">
        <f t="shared" ref="G75:G80" si="14">E75-F75</f>
        <v>0</v>
      </c>
    </row>
    <row r="76" spans="1:16" ht="20" customHeight="1">
      <c r="A76" s="88" t="str">
        <f>'BASE PAX'!A51</f>
        <v>TRANSFER AEROPORTO PARTIDA</v>
      </c>
      <c r="B76" s="211">
        <f>'BASE PAX'!B51</f>
        <v>0</v>
      </c>
      <c r="C76" s="212">
        <f>'BASE PAX'!C51</f>
        <v>80000</v>
      </c>
      <c r="D76" s="232">
        <f>C76*0.2+C76</f>
        <v>96000</v>
      </c>
      <c r="E76" s="232">
        <f>D76*B76</f>
        <v>0</v>
      </c>
      <c r="F76" s="210">
        <f>B76*C76</f>
        <v>0</v>
      </c>
      <c r="G76" s="200">
        <f t="shared" si="14"/>
        <v>0</v>
      </c>
    </row>
    <row r="77" spans="1:16" ht="20" customHeight="1">
      <c r="A77" s="88" t="str">
        <f>'BASE PAX'!A52</f>
        <v>TRANSFERS INTERNO</v>
      </c>
      <c r="B77" s="211">
        <f>'BASE PAX'!B52</f>
        <v>0</v>
      </c>
      <c r="C77" s="212">
        <f>'BASE PAX'!C52</f>
        <v>18000</v>
      </c>
      <c r="D77" s="232">
        <f>C77*0.2+C77</f>
        <v>21600</v>
      </c>
      <c r="E77" s="232">
        <f>D77*B77</f>
        <v>0</v>
      </c>
      <c r="F77" s="210">
        <f>B77*C77</f>
        <v>0</v>
      </c>
      <c r="G77" s="200">
        <f t="shared" si="14"/>
        <v>0</v>
      </c>
    </row>
    <row r="78" spans="1:16" ht="20" customHeight="1">
      <c r="A78" s="88" t="str">
        <f>'BASE PAX'!A53</f>
        <v>EXTRAS 1</v>
      </c>
      <c r="B78" s="211">
        <f>'BASE PAX'!B53</f>
        <v>0</v>
      </c>
      <c r="C78" s="212">
        <f>'BASE PAX'!C53</f>
        <v>150000</v>
      </c>
      <c r="D78" s="232">
        <f>C78*0.2+C78</f>
        <v>180000</v>
      </c>
      <c r="E78" s="232">
        <f>D78*B78</f>
        <v>0</v>
      </c>
      <c r="F78" s="210">
        <f>B78*C78</f>
        <v>0</v>
      </c>
      <c r="G78" s="200">
        <f t="shared" si="14"/>
        <v>0</v>
      </c>
    </row>
    <row r="79" spans="1:16" ht="20" customHeight="1" thickBot="1">
      <c r="A79" s="218" t="str">
        <f>'BASE PAX'!A54</f>
        <v>EXTRAS 2</v>
      </c>
      <c r="B79" s="211">
        <f>'BASE PAX'!B54</f>
        <v>0</v>
      </c>
      <c r="C79" s="216">
        <f>'BASE PAX'!C54</f>
        <v>0</v>
      </c>
      <c r="D79" s="233">
        <f>C79*0.2+C79</f>
        <v>0</v>
      </c>
      <c r="E79" s="233">
        <f>D79*B79</f>
        <v>0</v>
      </c>
      <c r="F79" s="217">
        <f>B79*C79</f>
        <v>0</v>
      </c>
      <c r="G79" s="201">
        <f t="shared" si="14"/>
        <v>0</v>
      </c>
    </row>
    <row r="80" spans="1:16" ht="44" customHeight="1" thickBot="1">
      <c r="A80" s="23" t="s">
        <v>89</v>
      </c>
      <c r="B80" s="80"/>
      <c r="C80" s="130"/>
      <c r="D80" s="130"/>
      <c r="E80" s="131">
        <f>SUM(E75:E79)</f>
        <v>0</v>
      </c>
      <c r="F80" s="131">
        <f>SUM(F75:F79)</f>
        <v>0</v>
      </c>
      <c r="G80" s="203">
        <f t="shared" si="14"/>
        <v>0</v>
      </c>
    </row>
    <row r="81" spans="1:16" s="8" customFormat="1" ht="11" customHeight="1" thickBot="1">
      <c r="A81" s="16"/>
      <c r="B81" s="56"/>
      <c r="C81" s="105"/>
      <c r="D81" s="102"/>
      <c r="E81" s="102"/>
      <c r="F81" s="7"/>
      <c r="G81" s="17"/>
      <c r="H81" s="7"/>
      <c r="I81" s="7"/>
      <c r="J81" s="7"/>
      <c r="K81" s="7"/>
      <c r="L81" s="7"/>
      <c r="M81" s="7"/>
      <c r="N81" s="7"/>
      <c r="O81" s="7"/>
      <c r="P81" s="7"/>
    </row>
    <row r="82" spans="1:16" s="9" customFormat="1" ht="42" customHeight="1" thickBot="1">
      <c r="A82" s="246" t="s">
        <v>117</v>
      </c>
      <c r="B82" s="247" t="s">
        <v>52</v>
      </c>
      <c r="C82" s="248" t="s">
        <v>53</v>
      </c>
      <c r="D82" s="249" t="s">
        <v>54</v>
      </c>
      <c r="E82" s="249" t="s">
        <v>55</v>
      </c>
      <c r="F82" s="248" t="s">
        <v>162</v>
      </c>
      <c r="G82" s="147" t="s">
        <v>159</v>
      </c>
    </row>
    <row r="83" spans="1:16" ht="20" customHeight="1">
      <c r="A83" s="81" t="str">
        <f>'BASE PAX'!A58</f>
        <v>WS INSTRUCTOR</v>
      </c>
      <c r="B83" s="238">
        <f>'BASE PAX'!B58</f>
        <v>0</v>
      </c>
      <c r="C83" s="239">
        <f>'BASE PAX'!C58</f>
        <v>3415000</v>
      </c>
      <c r="D83" s="240">
        <f>(C83*0.15)+C83</f>
        <v>3927250</v>
      </c>
      <c r="E83" s="240">
        <f>D83*B83</f>
        <v>0</v>
      </c>
      <c r="F83" s="234">
        <f>B83*C83</f>
        <v>0</v>
      </c>
      <c r="G83" s="199">
        <f>E83-F83</f>
        <v>0</v>
      </c>
    </row>
    <row r="84" spans="1:16" ht="20" customHeight="1">
      <c r="A84" s="81" t="str">
        <f>'BASE PAX'!A59</f>
        <v>PRODUCER FEE</v>
      </c>
      <c r="B84" s="235">
        <f>'BASE PAX'!B59</f>
        <v>0</v>
      </c>
      <c r="C84" s="236">
        <f>'BASE PAX'!C59</f>
        <v>180000</v>
      </c>
      <c r="D84" s="237">
        <f>(C84*0.15)+C84</f>
        <v>207000</v>
      </c>
      <c r="E84" s="237">
        <f>D84*B84</f>
        <v>0</v>
      </c>
      <c r="F84" s="234">
        <f>B84*C84</f>
        <v>0</v>
      </c>
      <c r="G84" s="200">
        <f>E84-F84</f>
        <v>0</v>
      </c>
    </row>
    <row r="85" spans="1:16" ht="20" customHeight="1" thickBot="1">
      <c r="A85" s="241">
        <f>'BASE PAX'!A60</f>
        <v>0</v>
      </c>
      <c r="B85" s="242">
        <f>'BASE PAX'!B60</f>
        <v>0</v>
      </c>
      <c r="C85" s="243">
        <f>'BASE PAX'!C60</f>
        <v>20000</v>
      </c>
      <c r="D85" s="244">
        <f>(C85*0.15)+C85</f>
        <v>23000</v>
      </c>
      <c r="E85" s="244">
        <f>D85*B85</f>
        <v>0</v>
      </c>
      <c r="F85" s="245">
        <f>B85*C85</f>
        <v>0</v>
      </c>
      <c r="G85" s="201">
        <f>E85-F85</f>
        <v>0</v>
      </c>
    </row>
    <row r="86" spans="1:16" ht="41" customHeight="1" thickBot="1">
      <c r="A86" s="24" t="s">
        <v>163</v>
      </c>
      <c r="B86" s="82"/>
      <c r="C86" s="132"/>
      <c r="D86" s="132"/>
      <c r="E86" s="133">
        <f>SUM(E83:E85)</f>
        <v>0</v>
      </c>
      <c r="F86" s="133">
        <f>SUM(F81:F85)</f>
        <v>0</v>
      </c>
      <c r="G86" s="203">
        <f>E86-F86</f>
        <v>0</v>
      </c>
    </row>
    <row r="87" spans="1:16" s="8" customFormat="1" ht="11" customHeight="1" thickBot="1">
      <c r="A87" s="16"/>
      <c r="B87" s="56"/>
      <c r="C87" s="105"/>
      <c r="D87" s="102"/>
      <c r="E87" s="102"/>
      <c r="F87" s="7"/>
      <c r="G87" s="17"/>
      <c r="H87" s="7"/>
      <c r="I87" s="7"/>
      <c r="J87" s="7"/>
      <c r="K87" s="7"/>
      <c r="L87" s="7"/>
      <c r="M87" s="7"/>
      <c r="N87" s="7"/>
      <c r="O87" s="7"/>
      <c r="P87" s="7"/>
    </row>
    <row r="88" spans="1:16" ht="38" customHeight="1" thickBot="1">
      <c r="A88" s="258" t="s">
        <v>164</v>
      </c>
      <c r="B88" s="259" t="s">
        <v>92</v>
      </c>
      <c r="C88" s="250" t="s">
        <v>53</v>
      </c>
      <c r="D88" s="260" t="s">
        <v>54</v>
      </c>
      <c r="E88" s="260" t="s">
        <v>55</v>
      </c>
      <c r="F88" s="250"/>
      <c r="G88" s="147" t="s">
        <v>159</v>
      </c>
    </row>
    <row r="89" spans="1:16" ht="20" customHeight="1">
      <c r="A89" s="255" t="str">
        <f>'BASE PAX'!A64</f>
        <v>COORDENAÇÃO PRODUÇÃO</v>
      </c>
      <c r="B89" s="256">
        <f>'BASE PAX'!B64</f>
        <v>0</v>
      </c>
      <c r="C89" s="257">
        <f>'BASE PAX'!C64</f>
        <v>50000</v>
      </c>
      <c r="D89" s="257">
        <f>'BASE PAX'!D64</f>
        <v>0</v>
      </c>
      <c r="E89" s="121">
        <f>D89*B89</f>
        <v>0</v>
      </c>
      <c r="F89" s="257"/>
      <c r="G89" s="199">
        <f t="shared" ref="G89:G94" si="15">E89*0.2</f>
        <v>0</v>
      </c>
    </row>
    <row r="90" spans="1:16" ht="20" customHeight="1">
      <c r="A90" s="251" t="str">
        <f>'BASE PAX'!A65</f>
        <v>EXTRA MÃO DE OBRA</v>
      </c>
      <c r="B90" s="256">
        <f>'BASE PAX'!B65</f>
        <v>0</v>
      </c>
      <c r="C90" s="253">
        <f>'BASE PAX'!C65</f>
        <v>50000</v>
      </c>
      <c r="D90" s="253">
        <f>'BASE PAX'!D65</f>
        <v>0</v>
      </c>
      <c r="E90" s="121">
        <f t="shared" ref="E90:E94" si="16">D90*B90</f>
        <v>0</v>
      </c>
      <c r="F90" s="253"/>
      <c r="G90" s="199">
        <f t="shared" si="15"/>
        <v>0</v>
      </c>
    </row>
    <row r="91" spans="1:16" ht="20" customHeight="1">
      <c r="A91" s="251" t="str">
        <f>'BASE PAX'!A66</f>
        <v>TAXA LIMPEZA CHECK IN / CHECKOUT</v>
      </c>
      <c r="B91" s="252">
        <f>'BASE PAX'!B66</f>
        <v>0</v>
      </c>
      <c r="C91" s="253">
        <f>'BASE PAX'!C66</f>
        <v>40000</v>
      </c>
      <c r="D91" s="253">
        <f>'BASE PAX'!D66</f>
        <v>0</v>
      </c>
      <c r="E91" s="121">
        <f t="shared" si="16"/>
        <v>0</v>
      </c>
      <c r="F91" s="253"/>
      <c r="G91" s="199">
        <f t="shared" si="15"/>
        <v>0</v>
      </c>
    </row>
    <row r="92" spans="1:16" ht="20" customHeight="1">
      <c r="A92" s="251" t="str">
        <f>'BASE PAX'!A67</f>
        <v>TAXA LIMPEZA DIARIA</v>
      </c>
      <c r="B92" s="254">
        <f>'BASE PAX'!B67</f>
        <v>0</v>
      </c>
      <c r="C92" s="253">
        <f>'BASE PAX'!C67</f>
        <v>30000</v>
      </c>
      <c r="D92" s="253">
        <f>'BASE PAX'!D67</f>
        <v>0</v>
      </c>
      <c r="E92" s="121">
        <f t="shared" si="16"/>
        <v>0</v>
      </c>
      <c r="F92" s="253"/>
      <c r="G92" s="199">
        <f t="shared" si="15"/>
        <v>0</v>
      </c>
    </row>
    <row r="93" spans="1:16" ht="20" customHeight="1">
      <c r="A93" s="251" t="str">
        <f>'BASE PAX'!A68</f>
        <v>SOUVENIR</v>
      </c>
      <c r="B93" s="254">
        <f>'BASE PAX'!B68</f>
        <v>0</v>
      </c>
      <c r="C93" s="253">
        <f>'BASE PAX'!C68</f>
        <v>15000</v>
      </c>
      <c r="D93" s="253">
        <f>'BASE PAX'!D68</f>
        <v>0</v>
      </c>
      <c r="E93" s="121">
        <f t="shared" si="16"/>
        <v>0</v>
      </c>
      <c r="F93" s="253"/>
      <c r="G93" s="199">
        <f t="shared" si="15"/>
        <v>0</v>
      </c>
    </row>
    <row r="94" spans="1:16" ht="20" customHeight="1" thickBot="1">
      <c r="A94" s="251" t="str">
        <f>'BASE PAX'!A69</f>
        <v>ASSISTENTE COORDENAÇÃO</v>
      </c>
      <c r="B94" s="256">
        <f>'BASE PAX'!B69</f>
        <v>0</v>
      </c>
      <c r="C94" s="253">
        <f>'BASE PAX'!C69</f>
        <v>30000</v>
      </c>
      <c r="D94" s="253">
        <f>'BASE PAX'!D69</f>
        <v>0</v>
      </c>
      <c r="E94" s="121">
        <f t="shared" si="16"/>
        <v>0</v>
      </c>
      <c r="F94" s="253"/>
      <c r="G94" s="199">
        <f t="shared" si="15"/>
        <v>0</v>
      </c>
    </row>
    <row r="95" spans="1:16" ht="41" customHeight="1" thickBot="1">
      <c r="A95" s="25" t="s">
        <v>101</v>
      </c>
      <c r="B95" s="83"/>
      <c r="C95" s="134"/>
      <c r="D95" s="134"/>
      <c r="E95" s="135">
        <f>SUM(E89:E94)</f>
        <v>0</v>
      </c>
      <c r="F95" s="135"/>
      <c r="G95" s="203">
        <f>SUM(G89:G94)</f>
        <v>0</v>
      </c>
    </row>
    <row r="96" spans="1:16" s="8" customFormat="1" ht="11" customHeight="1" thickBot="1">
      <c r="A96" s="16"/>
      <c r="B96" s="56"/>
      <c r="C96" s="105"/>
      <c r="D96" s="102"/>
      <c r="E96" s="102"/>
      <c r="F96" s="7"/>
      <c r="G96" s="17"/>
      <c r="H96" s="7"/>
      <c r="I96" s="7"/>
      <c r="J96" s="7"/>
      <c r="K96" s="7"/>
      <c r="L96" s="7"/>
      <c r="M96" s="7"/>
      <c r="N96" s="7"/>
      <c r="O96" s="7"/>
      <c r="P96" s="7"/>
    </row>
    <row r="97" spans="1:16" ht="38" customHeight="1" thickBot="1">
      <c r="A97" s="26" t="s">
        <v>165</v>
      </c>
      <c r="B97" s="27" t="s">
        <v>92</v>
      </c>
      <c r="C97" s="136" t="s">
        <v>53</v>
      </c>
      <c r="D97" s="136" t="s">
        <v>54</v>
      </c>
      <c r="E97" s="137" t="s">
        <v>55</v>
      </c>
      <c r="F97" s="20"/>
      <c r="G97" s="20"/>
    </row>
    <row r="98" spans="1:16" ht="23" customHeight="1" thickBot="1">
      <c r="A98" s="84" t="str">
        <f>'BASE PAX'!A73</f>
        <v xml:space="preserve">QUINCHO DAY USE / CABIN </v>
      </c>
      <c r="B98" s="279">
        <f>'BASE PAX'!B73</f>
        <v>0</v>
      </c>
      <c r="C98" s="138">
        <f>'BASE PAX'!C73</f>
        <v>15000</v>
      </c>
      <c r="D98" s="138">
        <f>C98+(C98*0.2)</f>
        <v>18000</v>
      </c>
      <c r="E98" s="139">
        <f>D98*B98</f>
        <v>0</v>
      </c>
      <c r="F98" s="19"/>
      <c r="G98" s="17"/>
    </row>
    <row r="99" spans="1:16" ht="42" customHeight="1" thickBot="1">
      <c r="A99" s="26" t="s">
        <v>104</v>
      </c>
      <c r="B99" s="86"/>
      <c r="C99" s="140"/>
      <c r="D99" s="140"/>
      <c r="E99" s="141">
        <f>E98</f>
        <v>0</v>
      </c>
    </row>
    <row r="100" spans="1:16" s="6" customFormat="1" ht="20" customHeight="1">
      <c r="A100" s="28"/>
      <c r="B100" s="52"/>
      <c r="C100" s="11"/>
      <c r="D100" s="11"/>
      <c r="E100" s="11"/>
      <c r="F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9" customHeight="1"/>
  </sheetData>
  <sheetProtection sheet="1" objects="1" scenarios="1"/>
  <mergeCells count="17">
    <mergeCell ref="A11:A12"/>
    <mergeCell ref="A28:D28"/>
    <mergeCell ref="B5:C5"/>
    <mergeCell ref="F20:F21"/>
    <mergeCell ref="B11:B12"/>
    <mergeCell ref="D11:D12"/>
    <mergeCell ref="B9:C9"/>
    <mergeCell ref="D9:E9"/>
    <mergeCell ref="B8:C8"/>
    <mergeCell ref="D8:E8"/>
    <mergeCell ref="D6:E6"/>
    <mergeCell ref="B6:C6"/>
    <mergeCell ref="I11:K11"/>
    <mergeCell ref="D7:E7"/>
    <mergeCell ref="B7:C7"/>
    <mergeCell ref="F11:G13"/>
    <mergeCell ref="G20:G21"/>
  </mergeCells>
  <pageMargins left="0.7" right="0.7" top="0.75" bottom="0.75" header="0.3" footer="0.3"/>
  <pageSetup paperSize="9"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0"/>
  <dimension ref="A1:P101"/>
  <sheetViews>
    <sheetView topLeftCell="A2" zoomScaleNormal="100" workbookViewId="0">
      <selection activeCell="C92" sqref="C92"/>
    </sheetView>
  </sheetViews>
  <sheetFormatPr baseColWidth="10" defaultColWidth="11" defaultRowHeight="17"/>
  <cols>
    <col min="1" max="1" width="48.796875" style="7" customWidth="1"/>
    <col min="2" max="2" width="23.796875" style="52" customWidth="1"/>
    <col min="3" max="3" width="24" style="7" customWidth="1"/>
    <col min="4" max="4" width="22.796875" style="12" customWidth="1"/>
    <col min="5" max="5" width="22.19921875" style="11" customWidth="1"/>
    <col min="6" max="6" width="32.796875" style="7" customWidth="1"/>
    <col min="7" max="7" width="27.796875" style="6" customWidth="1"/>
    <col min="8" max="8" width="32.3984375" style="7" customWidth="1"/>
    <col min="9" max="9" width="23.59765625" style="7" customWidth="1"/>
    <col min="10" max="10" width="25.19921875" style="7" customWidth="1"/>
    <col min="11" max="11" width="28.796875" style="7" customWidth="1"/>
    <col min="12" max="12" width="36.19921875" style="7" customWidth="1"/>
    <col min="13" max="28" width="11" style="7" customWidth="1"/>
    <col min="29" max="16384" width="11" style="7"/>
  </cols>
  <sheetData>
    <row r="1" spans="1:16" ht="22" hidden="1" customHeight="1" thickBot="1"/>
    <row r="2" spans="1:16" ht="7" customHeight="1">
      <c r="D2" s="13"/>
    </row>
    <row r="3" spans="1:16" s="10" customFormat="1" ht="1" customHeight="1">
      <c r="A3" s="14"/>
      <c r="B3" s="53"/>
      <c r="C3" s="15" t="s">
        <v>11</v>
      </c>
      <c r="D3" s="15"/>
      <c r="E3" s="15"/>
      <c r="G3" s="9"/>
    </row>
    <row r="4" spans="1:16" s="10" customFormat="1" ht="19" customHeight="1">
      <c r="A4" s="14"/>
      <c r="B4" s="53"/>
      <c r="C4" s="15"/>
      <c r="D4" s="15"/>
      <c r="E4" s="15"/>
      <c r="G4" s="9"/>
    </row>
    <row r="5" spans="1:16" s="10" customFormat="1" ht="50" customHeight="1">
      <c r="A5" s="54" t="s">
        <v>129</v>
      </c>
      <c r="B5" s="674">
        <v>4</v>
      </c>
      <c r="C5" s="675"/>
      <c r="D5" s="739" t="s">
        <v>14</v>
      </c>
      <c r="E5" s="675"/>
      <c r="F5" s="675"/>
      <c r="G5" s="9"/>
    </row>
    <row r="6" spans="1:16" s="8" customFormat="1" ht="37" customHeight="1">
      <c r="A6" s="54" t="s">
        <v>130</v>
      </c>
      <c r="B6" s="683">
        <v>0</v>
      </c>
      <c r="C6" s="684"/>
      <c r="D6" s="682" t="s">
        <v>131</v>
      </c>
      <c r="E6" s="661"/>
      <c r="F6" s="106">
        <f>D21</f>
        <v>0</v>
      </c>
      <c r="G6" s="9"/>
      <c r="H6" s="10"/>
    </row>
    <row r="7" spans="1:16" s="8" customFormat="1" ht="33" customHeight="1">
      <c r="A7" s="55" t="s">
        <v>132</v>
      </c>
      <c r="B7" s="662">
        <f>CALENDAR!C2</f>
        <v>0</v>
      </c>
      <c r="C7" s="661"/>
      <c r="D7" s="660" t="s">
        <v>133</v>
      </c>
      <c r="E7" s="661"/>
      <c r="F7" s="107">
        <f>SUM(F12:F20)</f>
        <v>0</v>
      </c>
      <c r="G7" s="9"/>
      <c r="H7" s="10"/>
    </row>
    <row r="8" spans="1:16" s="8" customFormat="1" ht="31" customHeight="1">
      <c r="A8" s="54" t="s">
        <v>134</v>
      </c>
      <c r="B8" s="680">
        <f>CALENDAR!C3</f>
        <v>0</v>
      </c>
      <c r="C8" s="661"/>
      <c r="D8" s="681" t="s">
        <v>135</v>
      </c>
      <c r="E8" s="661"/>
      <c r="F8" s="108">
        <f>F6-F7</f>
        <v>0</v>
      </c>
      <c r="G8" s="9"/>
      <c r="H8" s="10"/>
    </row>
    <row r="9" spans="1:16" s="8" customFormat="1" ht="32" customHeight="1">
      <c r="A9" s="55" t="s">
        <v>136</v>
      </c>
      <c r="B9" s="678">
        <f>CALENDAR!J2</f>
        <v>0</v>
      </c>
      <c r="C9" s="661"/>
      <c r="D9" s="679" t="s">
        <v>137</v>
      </c>
      <c r="E9" s="661"/>
      <c r="F9" s="1"/>
      <c r="G9" s="9"/>
      <c r="H9" s="10"/>
    </row>
    <row r="10" spans="1:16" s="8" customFormat="1" ht="30" customHeight="1" thickBot="1">
      <c r="A10" s="16"/>
      <c r="B10" s="56"/>
      <c r="C10" s="6"/>
      <c r="D10" s="7"/>
      <c r="E10" s="7"/>
      <c r="F10" s="7"/>
      <c r="G10" s="17"/>
      <c r="H10" s="7"/>
      <c r="I10" s="7"/>
      <c r="J10" s="7"/>
      <c r="K10" s="7"/>
      <c r="L10" s="7"/>
      <c r="M10" s="7"/>
      <c r="N10" s="7"/>
      <c r="O10" s="7"/>
      <c r="P10" s="7"/>
    </row>
    <row r="11" spans="1:16" s="6" customFormat="1" ht="44" customHeight="1" thickBot="1">
      <c r="A11" s="671" t="s">
        <v>138</v>
      </c>
      <c r="B11" s="677" t="s">
        <v>139</v>
      </c>
      <c r="C11" s="57" t="s">
        <v>140</v>
      </c>
      <c r="D11" s="677" t="s">
        <v>141</v>
      </c>
      <c r="E11" s="7"/>
      <c r="F11" s="738" t="str">
        <f>D5</f>
        <v>CORCOVADO</v>
      </c>
      <c r="G11" s="664"/>
      <c r="H11" s="7"/>
      <c r="I11" s="658" t="s">
        <v>142</v>
      </c>
      <c r="J11" s="659"/>
      <c r="K11" s="659"/>
      <c r="L11" s="7"/>
      <c r="M11" s="7"/>
      <c r="N11" s="7"/>
      <c r="O11" s="7"/>
      <c r="P11" s="7"/>
    </row>
    <row r="12" spans="1:16" s="6" customFormat="1" ht="32" customHeight="1">
      <c r="A12" s="659"/>
      <c r="B12" s="659"/>
      <c r="C12" s="58">
        <v>0.05</v>
      </c>
      <c r="D12" s="659"/>
      <c r="E12" s="7"/>
      <c r="F12" s="665"/>
      <c r="G12" s="666"/>
      <c r="H12" s="7"/>
      <c r="I12" s="59" t="s">
        <v>126</v>
      </c>
      <c r="J12" s="60" t="s">
        <v>143</v>
      </c>
      <c r="K12" s="60" t="s">
        <v>144</v>
      </c>
      <c r="L12" s="7"/>
      <c r="M12" s="7"/>
      <c r="N12" s="7"/>
      <c r="O12" s="7"/>
      <c r="P12" s="7"/>
    </row>
    <row r="13" spans="1:16" ht="22" customHeight="1" thickBot="1">
      <c r="A13" s="61" t="s">
        <v>15</v>
      </c>
      <c r="B13" s="109">
        <f>G28</f>
        <v>0</v>
      </c>
      <c r="C13" s="109">
        <f t="shared" ref="C13:C20" si="0">B13*$C$12</f>
        <v>0</v>
      </c>
      <c r="D13" s="109">
        <f t="shared" ref="D13:D20" si="1">B13+(B13*$C$12)</f>
        <v>0</v>
      </c>
      <c r="E13" s="7"/>
      <c r="F13" s="667"/>
      <c r="G13" s="668"/>
      <c r="I13" s="3"/>
      <c r="J13" s="4"/>
      <c r="K13" s="5"/>
    </row>
    <row r="14" spans="1:16" s="6" customFormat="1" ht="20" customHeight="1">
      <c r="A14" s="62" t="s">
        <v>16</v>
      </c>
      <c r="B14" s="110">
        <f>J49</f>
        <v>0</v>
      </c>
      <c r="C14" s="110">
        <f t="shared" si="0"/>
        <v>0</v>
      </c>
      <c r="D14" s="110">
        <f t="shared" si="1"/>
        <v>0</v>
      </c>
      <c r="E14" s="7"/>
      <c r="F14" s="271" t="str">
        <f t="shared" ref="F14:F19" si="2">A14</f>
        <v>2.FOOD</v>
      </c>
      <c r="G14" s="261">
        <f>G49</f>
        <v>0</v>
      </c>
      <c r="H14" s="7"/>
      <c r="I14" s="3"/>
      <c r="J14" s="4"/>
      <c r="K14" s="5"/>
      <c r="L14" s="7"/>
      <c r="M14" s="7"/>
      <c r="N14" s="7"/>
      <c r="O14" s="7"/>
      <c r="P14" s="7"/>
    </row>
    <row r="15" spans="1:16" s="6" customFormat="1" ht="20" customHeight="1">
      <c r="A15" s="63" t="s">
        <v>17</v>
      </c>
      <c r="B15" s="111">
        <f>E59</f>
        <v>0</v>
      </c>
      <c r="C15" s="111">
        <f t="shared" si="0"/>
        <v>0</v>
      </c>
      <c r="D15" s="111">
        <f t="shared" si="1"/>
        <v>0</v>
      </c>
      <c r="E15" s="7"/>
      <c r="F15" s="272" t="str">
        <f t="shared" si="2"/>
        <v>3.DRINKS</v>
      </c>
      <c r="G15" s="262">
        <f>G59</f>
        <v>0</v>
      </c>
      <c r="H15" s="7"/>
      <c r="I15" s="3"/>
      <c r="J15" s="4"/>
      <c r="K15" s="5"/>
      <c r="L15" s="7"/>
      <c r="M15" s="7"/>
      <c r="N15" s="7"/>
      <c r="O15" s="7"/>
      <c r="P15" s="7"/>
    </row>
    <row r="16" spans="1:16" s="6" customFormat="1" ht="20" customHeight="1">
      <c r="A16" s="55" t="s">
        <v>18</v>
      </c>
      <c r="B16" s="112">
        <f>$E$72</f>
        <v>0</v>
      </c>
      <c r="C16" s="112">
        <f t="shared" si="0"/>
        <v>0</v>
      </c>
      <c r="D16" s="112">
        <f t="shared" si="1"/>
        <v>0</v>
      </c>
      <c r="E16" s="7"/>
      <c r="F16" s="273" t="str">
        <f t="shared" si="2"/>
        <v>4. ACTIVITIES</v>
      </c>
      <c r="G16" s="263">
        <f>G72</f>
        <v>0</v>
      </c>
      <c r="H16" s="7"/>
      <c r="I16" s="3"/>
      <c r="J16" s="4"/>
      <c r="K16" s="5"/>
      <c r="L16" s="7"/>
      <c r="M16" s="7"/>
      <c r="N16" s="7"/>
      <c r="O16" s="7"/>
      <c r="P16" s="7"/>
    </row>
    <row r="17" spans="1:16" s="6" customFormat="1" ht="20" customHeight="1">
      <c r="A17" s="63" t="s">
        <v>19</v>
      </c>
      <c r="B17" s="111">
        <f>$E$80</f>
        <v>0</v>
      </c>
      <c r="C17" s="111">
        <f t="shared" si="0"/>
        <v>0</v>
      </c>
      <c r="D17" s="111">
        <f t="shared" si="1"/>
        <v>0</v>
      </c>
      <c r="E17" s="7"/>
      <c r="F17" s="274" t="str">
        <f t="shared" si="2"/>
        <v>5.TRANSPORT</v>
      </c>
      <c r="G17" s="174">
        <f>G80</f>
        <v>0</v>
      </c>
      <c r="H17" s="7"/>
      <c r="I17" s="3"/>
      <c r="J17" s="4"/>
      <c r="K17" s="5"/>
      <c r="L17" s="7"/>
      <c r="M17" s="7"/>
      <c r="N17" s="7"/>
      <c r="O17" s="7"/>
      <c r="P17" s="7"/>
    </row>
    <row r="18" spans="1:16" s="6" customFormat="1" ht="20" customHeight="1">
      <c r="A18" s="64" t="s">
        <v>20</v>
      </c>
      <c r="B18" s="113">
        <f>$E$86</f>
        <v>0</v>
      </c>
      <c r="C18" s="113">
        <f t="shared" si="0"/>
        <v>0</v>
      </c>
      <c r="D18" s="113">
        <f t="shared" si="1"/>
        <v>0</v>
      </c>
      <c r="E18" s="10"/>
      <c r="F18" s="275" t="str">
        <f t="shared" si="2"/>
        <v>6.EXPERIENCES</v>
      </c>
      <c r="G18" s="264">
        <f>G86</f>
        <v>0</v>
      </c>
      <c r="H18" s="7"/>
      <c r="I18" s="3"/>
      <c r="J18" s="4"/>
      <c r="K18" s="5"/>
      <c r="L18" s="7"/>
      <c r="M18" s="7"/>
      <c r="N18" s="7"/>
      <c r="O18" s="7"/>
      <c r="P18" s="7"/>
    </row>
    <row r="19" spans="1:16" s="6" customFormat="1" ht="20" customHeight="1">
      <c r="A19" s="65" t="s">
        <v>21</v>
      </c>
      <c r="B19" s="114">
        <f>$E$95</f>
        <v>0</v>
      </c>
      <c r="C19" s="114">
        <f t="shared" si="0"/>
        <v>0</v>
      </c>
      <c r="D19" s="114">
        <f t="shared" si="1"/>
        <v>0</v>
      </c>
      <c r="E19" s="7"/>
      <c r="F19" s="276" t="str">
        <f t="shared" si="2"/>
        <v>7.EXTRAS</v>
      </c>
      <c r="G19" s="151">
        <f>G95</f>
        <v>0</v>
      </c>
      <c r="H19" s="7"/>
      <c r="I19" s="3"/>
      <c r="J19" s="4"/>
      <c r="K19" s="5"/>
      <c r="L19" s="7"/>
      <c r="M19" s="7"/>
      <c r="N19" s="7"/>
      <c r="O19" s="7"/>
      <c r="P19" s="7"/>
    </row>
    <row r="20" spans="1:16" s="6" customFormat="1" ht="20" customHeight="1" thickBot="1">
      <c r="A20" s="66" t="s">
        <v>22</v>
      </c>
      <c r="B20" s="115">
        <f>$E$99</f>
        <v>0</v>
      </c>
      <c r="C20" s="115">
        <f t="shared" si="0"/>
        <v>0</v>
      </c>
      <c r="D20" s="115">
        <f t="shared" si="1"/>
        <v>0</v>
      </c>
      <c r="E20" s="7"/>
      <c r="F20" s="676" t="s">
        <v>145</v>
      </c>
      <c r="G20" s="669">
        <f>G14+G15+G16+G17+G18+G19</f>
        <v>0</v>
      </c>
      <c r="H20" s="7"/>
      <c r="I20" s="3"/>
      <c r="J20" s="4"/>
      <c r="K20" s="5"/>
      <c r="L20" s="7"/>
      <c r="M20" s="7"/>
      <c r="N20" s="7"/>
      <c r="O20" s="7"/>
      <c r="P20" s="7"/>
    </row>
    <row r="21" spans="1:16" ht="35" customHeight="1" thickBot="1">
      <c r="A21" s="67" t="s">
        <v>146</v>
      </c>
      <c r="B21" s="116">
        <f>SUM(B13:B20)</f>
        <v>0</v>
      </c>
      <c r="C21" s="116"/>
      <c r="D21" s="116">
        <f>SUM(D13:D20)</f>
        <v>0</v>
      </c>
      <c r="E21" s="51"/>
      <c r="F21" s="670"/>
      <c r="G21" s="670"/>
    </row>
    <row r="22" spans="1:16" s="8" customFormat="1" ht="11" customHeight="1" thickBot="1">
      <c r="A22" s="16"/>
      <c r="B22" s="56"/>
      <c r="C22" s="6"/>
      <c r="D22" s="7"/>
      <c r="E22" s="7"/>
      <c r="F22" s="7"/>
      <c r="G22" s="17"/>
      <c r="H22" s="7"/>
      <c r="I22" s="7"/>
      <c r="J22" s="7"/>
      <c r="K22" s="7"/>
      <c r="L22" s="7"/>
      <c r="M22" s="7"/>
      <c r="N22" s="7"/>
      <c r="O22" s="7"/>
      <c r="P22" s="7"/>
    </row>
    <row r="23" spans="1:16" ht="44" customHeight="1" thickBot="1">
      <c r="A23" s="68" t="s">
        <v>114</v>
      </c>
      <c r="B23" s="69" t="s">
        <v>52</v>
      </c>
      <c r="C23" s="69" t="s">
        <v>147</v>
      </c>
      <c r="D23" s="69" t="s">
        <v>148</v>
      </c>
      <c r="E23" s="70" t="s">
        <v>149</v>
      </c>
      <c r="F23" s="70" t="s">
        <v>150</v>
      </c>
      <c r="G23" s="70" t="s">
        <v>151</v>
      </c>
    </row>
    <row r="24" spans="1:16" ht="20" customHeight="1">
      <c r="A24" s="71" t="s">
        <v>174</v>
      </c>
      <c r="B24" s="93">
        <v>1</v>
      </c>
      <c r="C24" s="117">
        <f>398381.8</f>
        <v>398381.8</v>
      </c>
      <c r="D24" s="118"/>
      <c r="E24" s="119">
        <f>(C24+D24)*$B$9*B24</f>
        <v>0</v>
      </c>
      <c r="F24" s="2">
        <v>0</v>
      </c>
      <c r="G24" s="119">
        <f>E24-(E24*F24)</f>
        <v>0</v>
      </c>
    </row>
    <row r="25" spans="1:16" ht="20" customHeight="1">
      <c r="A25" s="71" t="s">
        <v>175</v>
      </c>
      <c r="B25" s="93">
        <v>0</v>
      </c>
      <c r="C25" s="117">
        <f>398381.8</f>
        <v>398381.8</v>
      </c>
      <c r="D25" s="118">
        <v>50000</v>
      </c>
      <c r="E25" s="119">
        <f>(C25+D25)*$B$9*B25</f>
        <v>0</v>
      </c>
      <c r="F25" s="2">
        <v>0</v>
      </c>
      <c r="G25" s="119">
        <f>E25-(E25*F25)</f>
        <v>0</v>
      </c>
    </row>
    <row r="26" spans="1:16" ht="20" customHeight="1">
      <c r="A26" s="71" t="s">
        <v>176</v>
      </c>
      <c r="B26" s="93">
        <v>0</v>
      </c>
      <c r="C26" s="117">
        <f>358543.62</f>
        <v>358543.62</v>
      </c>
      <c r="D26" s="118"/>
      <c r="E26" s="119">
        <f>(C26+D26)*$B$9*B26</f>
        <v>0</v>
      </c>
      <c r="F26" s="2">
        <v>0</v>
      </c>
      <c r="G26" s="119">
        <f>E26-(E26*F26)</f>
        <v>0</v>
      </c>
    </row>
    <row r="27" spans="1:16" ht="20" customHeight="1" thickBot="1">
      <c r="A27" s="71" t="s">
        <v>177</v>
      </c>
      <c r="B27" s="93">
        <v>0</v>
      </c>
      <c r="C27" s="117">
        <f>358543.62</f>
        <v>358543.62</v>
      </c>
      <c r="D27" s="118">
        <v>50000</v>
      </c>
      <c r="E27" s="119">
        <f>(C27+D27)*$B$9*B27</f>
        <v>0</v>
      </c>
      <c r="F27" s="2">
        <v>0</v>
      </c>
      <c r="G27" s="119">
        <f>E27-(E27*F27)</f>
        <v>0</v>
      </c>
    </row>
    <row r="28" spans="1:16" ht="29" customHeight="1" thickBot="1">
      <c r="A28" s="672" t="s">
        <v>156</v>
      </c>
      <c r="B28" s="673"/>
      <c r="C28" s="673"/>
      <c r="D28" s="673"/>
      <c r="E28" s="72"/>
      <c r="F28" s="73"/>
      <c r="G28" s="120">
        <f>SUM(G24:G27)</f>
        <v>0</v>
      </c>
    </row>
    <row r="29" spans="1:16" s="8" customFormat="1" ht="11" customHeight="1" thickBot="1">
      <c r="A29" s="16"/>
      <c r="B29" s="56"/>
      <c r="C29" s="6"/>
      <c r="D29" s="7"/>
      <c r="E29" s="7"/>
      <c r="F29" s="7"/>
      <c r="G29" s="17"/>
      <c r="H29" s="7"/>
      <c r="I29" s="286"/>
      <c r="J29" s="7"/>
      <c r="K29" s="7"/>
      <c r="L29" s="7"/>
      <c r="M29" s="7"/>
      <c r="N29" s="7"/>
      <c r="O29" s="7"/>
      <c r="P29" s="7"/>
    </row>
    <row r="30" spans="1:16" s="10" customFormat="1" ht="40" customHeight="1" thickBot="1">
      <c r="A30" s="18" t="s">
        <v>51</v>
      </c>
      <c r="B30" s="159" t="s">
        <v>52</v>
      </c>
      <c r="C30" s="160" t="s">
        <v>53</v>
      </c>
      <c r="D30" s="153" t="s">
        <v>54</v>
      </c>
      <c r="E30" s="149" t="s">
        <v>157</v>
      </c>
      <c r="F30" s="103" t="s">
        <v>158</v>
      </c>
      <c r="G30" s="147" t="s">
        <v>159</v>
      </c>
      <c r="I30" s="286"/>
    </row>
    <row r="31" spans="1:16" ht="20" customHeight="1" thickBot="1">
      <c r="A31" s="154" t="str">
        <f>'BASE PAX'!A6</f>
        <v>BREAKFAST</v>
      </c>
      <c r="B31" s="285">
        <f>(B5*B9*'BASE PAX'!G6)+('BASE PAX'!H6*B6*B9)</f>
        <v>0</v>
      </c>
      <c r="C31" s="121"/>
      <c r="D31" s="144"/>
      <c r="E31" s="283">
        <v>0</v>
      </c>
      <c r="F31" s="122">
        <f t="shared" ref="F31:F46" si="3">B31*C31</f>
        <v>0</v>
      </c>
      <c r="G31" s="325">
        <f>0.2*B31</f>
        <v>0</v>
      </c>
      <c r="H31" s="351" t="str">
        <f>A31</f>
        <v>BREAKFAST</v>
      </c>
      <c r="I31" s="353">
        <f>B31</f>
        <v>0</v>
      </c>
    </row>
    <row r="32" spans="1:16" ht="20" customHeight="1">
      <c r="A32" s="155" t="str">
        <f>'BASE PAX'!A7</f>
        <v>LUNCH 1</v>
      </c>
      <c r="B32" s="74">
        <f>($B$5+$B$6)*'BASE PAX'!B7</f>
        <v>0</v>
      </c>
      <c r="C32" s="123">
        <f>'BASE PAX'!C7</f>
        <v>40000</v>
      </c>
      <c r="D32" s="125">
        <f>'BASE PAX'!D7</f>
        <v>48000</v>
      </c>
      <c r="E32" s="151">
        <f t="shared" ref="E32:E46" si="4">D32*B32</f>
        <v>0</v>
      </c>
      <c r="F32" s="124">
        <f t="shared" si="3"/>
        <v>0</v>
      </c>
      <c r="G32" s="146">
        <f t="shared" ref="G32:G46" si="5">E32-F32</f>
        <v>0</v>
      </c>
      <c r="I32" s="290"/>
    </row>
    <row r="33" spans="1:11" ht="20" customHeight="1">
      <c r="A33" s="155" t="str">
        <f>'BASE PAX'!A8</f>
        <v>LUNCH 2</v>
      </c>
      <c r="B33" s="74">
        <f>($B$5+$B$6)*'BASE PAX'!B8</f>
        <v>0</v>
      </c>
      <c r="C33" s="123">
        <f>'BASE PAX'!C8</f>
        <v>40000</v>
      </c>
      <c r="D33" s="125">
        <f>'BASE PAX'!D8</f>
        <v>48000</v>
      </c>
      <c r="E33" s="151">
        <f t="shared" si="4"/>
        <v>0</v>
      </c>
      <c r="F33" s="124">
        <f t="shared" si="3"/>
        <v>0</v>
      </c>
      <c r="G33" s="146">
        <f t="shared" si="5"/>
        <v>0</v>
      </c>
      <c r="I33" s="290"/>
    </row>
    <row r="34" spans="1:11" ht="20" customHeight="1">
      <c r="A34" s="155" t="str">
        <f>'BASE PAX'!A9</f>
        <v>LUNCH 3</v>
      </c>
      <c r="B34" s="74">
        <f>($B$5+$B$6)*'BASE PAX'!B9</f>
        <v>0</v>
      </c>
      <c r="C34" s="123">
        <f>'BASE PAX'!C9</f>
        <v>40000</v>
      </c>
      <c r="D34" s="125">
        <f>'BASE PAX'!D9</f>
        <v>48000</v>
      </c>
      <c r="E34" s="151">
        <f t="shared" si="4"/>
        <v>0</v>
      </c>
      <c r="F34" s="124">
        <f t="shared" si="3"/>
        <v>0</v>
      </c>
      <c r="G34" s="146">
        <f t="shared" si="5"/>
        <v>0</v>
      </c>
      <c r="I34" s="290"/>
    </row>
    <row r="35" spans="1:11" ht="20" customHeight="1">
      <c r="A35" s="155" t="str">
        <f>'BASE PAX'!A10</f>
        <v>LUNCH 4</v>
      </c>
      <c r="B35" s="74">
        <f>($B$5+$B$6)*'BASE PAX'!B10</f>
        <v>0</v>
      </c>
      <c r="C35" s="123">
        <f>'BASE PAX'!C10</f>
        <v>45000</v>
      </c>
      <c r="D35" s="125">
        <f>'BASE PAX'!D10</f>
        <v>54000</v>
      </c>
      <c r="E35" s="151">
        <f t="shared" si="4"/>
        <v>0</v>
      </c>
      <c r="F35" s="124">
        <f t="shared" si="3"/>
        <v>0</v>
      </c>
      <c r="G35" s="146">
        <f t="shared" si="5"/>
        <v>0</v>
      </c>
      <c r="I35" s="290"/>
    </row>
    <row r="36" spans="1:11" ht="20" customHeight="1">
      <c r="A36" s="155" t="str">
        <f>'BASE PAX'!A11</f>
        <v>LUNCH 5</v>
      </c>
      <c r="B36" s="74">
        <f>($B$5+$B$6)*'BASE PAX'!B11</f>
        <v>0</v>
      </c>
      <c r="C36" s="123">
        <f>'BASE PAX'!C11</f>
        <v>50000</v>
      </c>
      <c r="D36" s="125">
        <f>'BASE PAX'!D11</f>
        <v>60000</v>
      </c>
      <c r="E36" s="151">
        <f t="shared" si="4"/>
        <v>0</v>
      </c>
      <c r="F36" s="124">
        <f t="shared" si="3"/>
        <v>0</v>
      </c>
      <c r="G36" s="146">
        <f t="shared" si="5"/>
        <v>0</v>
      </c>
      <c r="I36" s="290"/>
    </row>
    <row r="37" spans="1:11" ht="20" customHeight="1">
      <c r="A37" s="155" t="str">
        <f>'BASE PAX'!A12</f>
        <v>LUNCH 6</v>
      </c>
      <c r="B37" s="74">
        <f>($B$5+$B$6)*'BASE PAX'!B12</f>
        <v>0</v>
      </c>
      <c r="C37" s="123">
        <f>'BASE PAX'!C12</f>
        <v>0</v>
      </c>
      <c r="D37" s="125">
        <f>'BASE PAX'!D12</f>
        <v>0</v>
      </c>
      <c r="E37" s="151">
        <f t="shared" si="4"/>
        <v>0</v>
      </c>
      <c r="F37" s="124">
        <f t="shared" si="3"/>
        <v>0</v>
      </c>
      <c r="G37" s="146">
        <f t="shared" si="5"/>
        <v>0</v>
      </c>
      <c r="I37" s="290"/>
    </row>
    <row r="38" spans="1:11" ht="20" customHeight="1">
      <c r="A38" s="155" t="str">
        <f>'BASE PAX'!A13</f>
        <v>LUNCH 7</v>
      </c>
      <c r="B38" s="74">
        <f>($B$5+$B$6)*'BASE PAX'!B13</f>
        <v>0</v>
      </c>
      <c r="C38" s="123">
        <f>'BASE PAX'!C13</f>
        <v>5000</v>
      </c>
      <c r="D38" s="125">
        <f>'BASE PAX'!D13</f>
        <v>6000</v>
      </c>
      <c r="E38" s="151">
        <f t="shared" si="4"/>
        <v>0</v>
      </c>
      <c r="F38" s="124">
        <f t="shared" si="3"/>
        <v>0</v>
      </c>
      <c r="G38" s="146">
        <f t="shared" si="5"/>
        <v>0</v>
      </c>
      <c r="I38" s="290"/>
    </row>
    <row r="39" spans="1:11" ht="20" customHeight="1">
      <c r="A39" s="156" t="str">
        <f>'BASE PAX'!A14</f>
        <v>SNACKS</v>
      </c>
      <c r="B39" s="75">
        <f>($B$5+$B$6)*'BASE PAX'!B14</f>
        <v>0</v>
      </c>
      <c r="C39" s="125">
        <f>'BASE PAX'!C14</f>
        <v>8000</v>
      </c>
      <c r="D39" s="145">
        <f>'BASE PAX'!D14</f>
        <v>9600</v>
      </c>
      <c r="E39" s="150">
        <f t="shared" si="4"/>
        <v>0</v>
      </c>
      <c r="F39" s="122">
        <f t="shared" si="3"/>
        <v>0</v>
      </c>
      <c r="G39" s="146">
        <f t="shared" si="5"/>
        <v>0</v>
      </c>
      <c r="I39" s="290"/>
    </row>
    <row r="40" spans="1:11" ht="20" customHeight="1">
      <c r="A40" s="155" t="str">
        <f>'BASE PAX'!A15</f>
        <v>DINNER 1</v>
      </c>
      <c r="B40" s="74">
        <f>($B$5+$B$6)*'BASE PAX'!B15</f>
        <v>0</v>
      </c>
      <c r="C40" s="123">
        <f>'BASE PAX'!C15</f>
        <v>70000</v>
      </c>
      <c r="D40" s="125">
        <f>'BASE PAX'!D15</f>
        <v>84000</v>
      </c>
      <c r="E40" s="151">
        <f t="shared" si="4"/>
        <v>0</v>
      </c>
      <c r="F40" s="124">
        <f t="shared" si="3"/>
        <v>0</v>
      </c>
      <c r="G40" s="146">
        <f t="shared" si="5"/>
        <v>0</v>
      </c>
      <c r="H40" s="287"/>
      <c r="I40" s="291"/>
    </row>
    <row r="41" spans="1:11" ht="20" customHeight="1">
      <c r="A41" s="155" t="str">
        <f>'BASE PAX'!A16</f>
        <v>DINNER 2</v>
      </c>
      <c r="B41" s="74">
        <f>($B$5+$B$6)*'BASE PAX'!B16</f>
        <v>0</v>
      </c>
      <c r="C41" s="123">
        <f>'BASE PAX'!C16</f>
        <v>25000</v>
      </c>
      <c r="D41" s="125">
        <f>'BASE PAX'!D16</f>
        <v>30000</v>
      </c>
      <c r="E41" s="151">
        <f t="shared" si="4"/>
        <v>0</v>
      </c>
      <c r="F41" s="124">
        <f t="shared" si="3"/>
        <v>0</v>
      </c>
      <c r="G41" s="146">
        <f t="shared" si="5"/>
        <v>0</v>
      </c>
      <c r="I41" s="290"/>
    </row>
    <row r="42" spans="1:11" ht="20" customHeight="1">
      <c r="A42" s="155" t="str">
        <f>'BASE PAX'!A17</f>
        <v>DINNER 3</v>
      </c>
      <c r="B42" s="74">
        <f>($B$5+$B$6)*'BASE PAX'!B17</f>
        <v>0</v>
      </c>
      <c r="C42" s="123">
        <f>'BASE PAX'!C17</f>
        <v>50000</v>
      </c>
      <c r="D42" s="125">
        <f>'BASE PAX'!D17</f>
        <v>60000</v>
      </c>
      <c r="E42" s="151">
        <f t="shared" si="4"/>
        <v>0</v>
      </c>
      <c r="F42" s="124">
        <f t="shared" si="3"/>
        <v>0</v>
      </c>
      <c r="G42" s="146">
        <f t="shared" si="5"/>
        <v>0</v>
      </c>
      <c r="I42" s="290"/>
    </row>
    <row r="43" spans="1:11" ht="20" customHeight="1">
      <c r="A43" s="155" t="str">
        <f>'BASE PAX'!A18</f>
        <v>DINNER 4</v>
      </c>
      <c r="B43" s="74">
        <f>($B$5+$B$6)*'BASE PAX'!B18</f>
        <v>0</v>
      </c>
      <c r="C43" s="123">
        <f>'BASE PAX'!C18</f>
        <v>65000</v>
      </c>
      <c r="D43" s="125">
        <f>'BASE PAX'!D18</f>
        <v>78000</v>
      </c>
      <c r="E43" s="151">
        <f t="shared" si="4"/>
        <v>0</v>
      </c>
      <c r="F43" s="124">
        <f t="shared" si="3"/>
        <v>0</v>
      </c>
      <c r="G43" s="146">
        <f t="shared" si="5"/>
        <v>0</v>
      </c>
      <c r="I43" s="9"/>
    </row>
    <row r="44" spans="1:11" ht="20" customHeight="1">
      <c r="A44" s="155" t="str">
        <f>'BASE PAX'!A19</f>
        <v>DINNER 5</v>
      </c>
      <c r="B44" s="74">
        <f>($B$5+$B$6)*'BASE PAX'!B19</f>
        <v>0</v>
      </c>
      <c r="C44" s="123">
        <f>'BASE PAX'!C19</f>
        <v>75000</v>
      </c>
      <c r="D44" s="125">
        <f>'BASE PAX'!D19</f>
        <v>90000</v>
      </c>
      <c r="E44" s="151">
        <f t="shared" si="4"/>
        <v>0</v>
      </c>
      <c r="F44" s="124">
        <f t="shared" si="3"/>
        <v>0</v>
      </c>
      <c r="G44" s="146">
        <f t="shared" si="5"/>
        <v>0</v>
      </c>
      <c r="I44" s="9"/>
    </row>
    <row r="45" spans="1:11" ht="20" customHeight="1">
      <c r="A45" s="155" t="str">
        <f>'BASE PAX'!A20</f>
        <v>DINNER 6</v>
      </c>
      <c r="B45" s="74">
        <f>($B$5+$B$6)*'BASE PAX'!B20</f>
        <v>0</v>
      </c>
      <c r="C45" s="123">
        <f>'BASE PAX'!C20</f>
        <v>0</v>
      </c>
      <c r="D45" s="125">
        <f>'BASE PAX'!D20</f>
        <v>0</v>
      </c>
      <c r="E45" s="151">
        <f t="shared" si="4"/>
        <v>0</v>
      </c>
      <c r="F45" s="124">
        <f t="shared" si="3"/>
        <v>0</v>
      </c>
      <c r="G45" s="146">
        <f t="shared" si="5"/>
        <v>0</v>
      </c>
      <c r="I45" s="9"/>
    </row>
    <row r="46" spans="1:11" ht="20" customHeight="1" thickBot="1">
      <c r="A46" s="155" t="str">
        <f>'BASE PAX'!A21</f>
        <v>DINNER 7</v>
      </c>
      <c r="B46" s="74">
        <f>($B$5+$B$6)*'BASE PAX'!B21</f>
        <v>0</v>
      </c>
      <c r="C46" s="123">
        <f>'BASE PAX'!C21</f>
        <v>75000</v>
      </c>
      <c r="D46" s="125">
        <f>'BASE PAX'!D21</f>
        <v>90000</v>
      </c>
      <c r="E46" s="151">
        <f t="shared" si="4"/>
        <v>0</v>
      </c>
      <c r="F46" s="124">
        <f t="shared" si="3"/>
        <v>0</v>
      </c>
      <c r="G46" s="146">
        <f t="shared" si="5"/>
        <v>0</v>
      </c>
      <c r="I46" s="10"/>
    </row>
    <row r="47" spans="1:11" ht="20" customHeight="1">
      <c r="A47" s="155" t="str">
        <f>'BASE PAX'!A22</f>
        <v>QUANT. TOTAL | PADRAO ALMOÇO</v>
      </c>
      <c r="B47" s="74">
        <f>'BASE PAX'!B22</f>
        <v>0</v>
      </c>
      <c r="C47" s="123"/>
      <c r="D47" s="125"/>
      <c r="E47" s="151"/>
      <c r="F47" s="124"/>
      <c r="G47" s="325">
        <f>0.2*I47</f>
        <v>0</v>
      </c>
      <c r="H47" s="338" t="str">
        <f>A47</f>
        <v>QUANT. TOTAL | PADRAO ALMOÇO</v>
      </c>
      <c r="I47" s="349">
        <f>(B5*B47*'BASE PAX'!G22)+(B6*B47*'BASE PAX'!H22)</f>
        <v>0</v>
      </c>
      <c r="J47" s="328"/>
      <c r="K47" s="329"/>
    </row>
    <row r="48" spans="1:11" ht="20" customHeight="1" thickBot="1">
      <c r="A48" s="163" t="str">
        <f>'BASE PAX'!A23</f>
        <v>QUANT. TOTAL | PADRAO JANTAR</v>
      </c>
      <c r="B48" s="164">
        <f>'BASE PAX'!B23</f>
        <v>0</v>
      </c>
      <c r="C48" s="165"/>
      <c r="D48" s="166"/>
      <c r="E48" s="167"/>
      <c r="F48" s="168"/>
      <c r="G48" s="326">
        <f>0.2*I48</f>
        <v>0</v>
      </c>
      <c r="H48" s="347" t="str">
        <f>A48</f>
        <v>QUANT. TOTAL | PADRAO JANTAR</v>
      </c>
      <c r="I48" s="335">
        <f>(B5*B48*'BASE PAX'!G23)+(B6*B48*'BASE PAX'!H23)</f>
        <v>0</v>
      </c>
      <c r="J48" s="330"/>
      <c r="K48" s="331"/>
    </row>
    <row r="49" spans="1:16" ht="29" customHeight="1" thickBot="1">
      <c r="A49" s="161" t="s">
        <v>72</v>
      </c>
      <c r="B49" s="157"/>
      <c r="C49" s="158"/>
      <c r="D49" s="303"/>
      <c r="E49" s="104">
        <f>SUM(E31:E48)</f>
        <v>0</v>
      </c>
      <c r="F49" s="104">
        <f>SUM(F31:F48)</f>
        <v>0</v>
      </c>
      <c r="G49" s="327">
        <f>SUM(G31:G48)</f>
        <v>0</v>
      </c>
      <c r="H49" s="341" t="s">
        <v>55</v>
      </c>
      <c r="I49" s="342">
        <f>I31+I47+I48</f>
        <v>0</v>
      </c>
      <c r="J49" s="359">
        <f>I49+E49</f>
        <v>0</v>
      </c>
      <c r="K49" s="333" t="s">
        <v>160</v>
      </c>
    </row>
    <row r="50" spans="1:16" s="8" customFormat="1" ht="11" customHeight="1" thickBot="1">
      <c r="A50" s="16"/>
      <c r="B50" s="56"/>
      <c r="C50" s="105"/>
      <c r="D50" s="102"/>
      <c r="E50" s="102"/>
      <c r="F50" s="7"/>
      <c r="G50" s="17"/>
      <c r="H50" s="7"/>
      <c r="I50" s="7"/>
      <c r="J50" s="7"/>
      <c r="K50" s="7"/>
      <c r="L50" s="7"/>
      <c r="M50" s="7"/>
      <c r="N50" s="7"/>
      <c r="O50" s="7"/>
      <c r="P50" s="7"/>
    </row>
    <row r="51" spans="1:16" ht="34" customHeight="1" thickBot="1">
      <c r="A51" s="21" t="s">
        <v>161</v>
      </c>
      <c r="B51" s="207" t="s">
        <v>52</v>
      </c>
      <c r="C51" s="208" t="s">
        <v>53</v>
      </c>
      <c r="D51" s="209" t="s">
        <v>54</v>
      </c>
      <c r="E51" s="172" t="s">
        <v>55</v>
      </c>
      <c r="F51" s="142" t="s">
        <v>158</v>
      </c>
      <c r="G51" s="182" t="s">
        <v>159</v>
      </c>
    </row>
    <row r="52" spans="1:16" ht="20" customHeight="1">
      <c r="A52" s="76" t="str">
        <f>'BASE PAX'!A27</f>
        <v>SUCOS</v>
      </c>
      <c r="B52" s="205">
        <f>'BASE PAX'!B27</f>
        <v>0</v>
      </c>
      <c r="C52" s="193">
        <f>'BASE PAX'!C27</f>
        <v>0</v>
      </c>
      <c r="D52" s="206">
        <f t="shared" ref="D52:D58" si="6">(C52*0.2)+C52</f>
        <v>0</v>
      </c>
      <c r="E52" s="174">
        <f t="shared" ref="E52:E58" si="7">D52*B52</f>
        <v>0</v>
      </c>
      <c r="F52" s="173">
        <f t="shared" ref="F52:F58" si="8">B52*C52</f>
        <v>0</v>
      </c>
      <c r="G52" s="183">
        <f t="shared" ref="G52:G59" si="9">E52-F52</f>
        <v>0</v>
      </c>
    </row>
    <row r="53" spans="1:16" ht="20" customHeight="1">
      <c r="A53" s="76" t="str">
        <f>'BASE PAX'!A28</f>
        <v>SUCOS</v>
      </c>
      <c r="B53" s="205">
        <f>'BASE PAX'!B28</f>
        <v>0</v>
      </c>
      <c r="C53" s="175">
        <f>'BASE PAX'!C28</f>
        <v>0</v>
      </c>
      <c r="D53" s="176">
        <f t="shared" si="6"/>
        <v>0</v>
      </c>
      <c r="E53" s="174">
        <f t="shared" si="7"/>
        <v>0</v>
      </c>
      <c r="F53" s="173">
        <f t="shared" si="8"/>
        <v>0</v>
      </c>
      <c r="G53" s="183">
        <f t="shared" si="9"/>
        <v>0</v>
      </c>
    </row>
    <row r="54" spans="1:16" ht="20" customHeight="1">
      <c r="A54" s="87" t="str">
        <f>'BASE PAX'!A29</f>
        <v>CERVEJAS</v>
      </c>
      <c r="B54" s="205">
        <f>'BASE PAX'!B29</f>
        <v>0</v>
      </c>
      <c r="C54" s="175">
        <f>'BASE PAX'!C29</f>
        <v>2000</v>
      </c>
      <c r="D54" s="176">
        <f t="shared" si="6"/>
        <v>2400</v>
      </c>
      <c r="E54" s="174">
        <f t="shared" si="7"/>
        <v>0</v>
      </c>
      <c r="F54" s="173">
        <f t="shared" si="8"/>
        <v>0</v>
      </c>
      <c r="G54" s="183">
        <f t="shared" si="9"/>
        <v>0</v>
      </c>
    </row>
    <row r="55" spans="1:16" ht="20" customHeight="1">
      <c r="A55" s="87" t="str">
        <f>'BASE PAX'!A30</f>
        <v>VINHOS</v>
      </c>
      <c r="B55" s="205">
        <f>'BASE PAX'!B30</f>
        <v>0</v>
      </c>
      <c r="C55" s="175">
        <f>'BASE PAX'!C30</f>
        <v>8000</v>
      </c>
      <c r="D55" s="176">
        <f t="shared" si="6"/>
        <v>9600</v>
      </c>
      <c r="E55" s="174">
        <f t="shared" si="7"/>
        <v>0</v>
      </c>
      <c r="F55" s="173">
        <f t="shared" si="8"/>
        <v>0</v>
      </c>
      <c r="G55" s="183">
        <f t="shared" si="9"/>
        <v>0</v>
      </c>
    </row>
    <row r="56" spans="1:16" ht="20" customHeight="1">
      <c r="A56" s="87" t="str">
        <f>'BASE PAX'!A31</f>
        <v>DRINKS</v>
      </c>
      <c r="B56" s="205">
        <f>'BASE PAX'!B31</f>
        <v>0</v>
      </c>
      <c r="C56" s="175">
        <f>'BASE PAX'!C31</f>
        <v>15000</v>
      </c>
      <c r="D56" s="176">
        <f t="shared" si="6"/>
        <v>18000</v>
      </c>
      <c r="E56" s="174">
        <f t="shared" si="7"/>
        <v>0</v>
      </c>
      <c r="F56" s="173">
        <f t="shared" si="8"/>
        <v>0</v>
      </c>
      <c r="G56" s="183">
        <f t="shared" si="9"/>
        <v>0</v>
      </c>
    </row>
    <row r="57" spans="1:16" ht="20" customHeight="1">
      <c r="A57" s="87" t="str">
        <f>'BASE PAX'!A32</f>
        <v>COOLER</v>
      </c>
      <c r="B57" s="205">
        <f>'BASE PAX'!B32</f>
        <v>0</v>
      </c>
      <c r="C57" s="175">
        <f>'BASE PAX'!C32</f>
        <v>5000</v>
      </c>
      <c r="D57" s="176">
        <f t="shared" si="6"/>
        <v>6000</v>
      </c>
      <c r="E57" s="174">
        <f t="shared" si="7"/>
        <v>0</v>
      </c>
      <c r="F57" s="173">
        <f t="shared" si="8"/>
        <v>0</v>
      </c>
      <c r="G57" s="183">
        <f t="shared" si="9"/>
        <v>0</v>
      </c>
    </row>
    <row r="58" spans="1:16" ht="20" customHeight="1" thickBot="1">
      <c r="A58" s="180">
        <f>'BASE PAX'!A33</f>
        <v>0</v>
      </c>
      <c r="B58" s="205">
        <f>'BASE PAX'!B33</f>
        <v>0</v>
      </c>
      <c r="C58" s="178">
        <f>'BASE PAX'!C33</f>
        <v>0</v>
      </c>
      <c r="D58" s="179">
        <f t="shared" si="6"/>
        <v>0</v>
      </c>
      <c r="E58" s="184">
        <f t="shared" si="7"/>
        <v>0</v>
      </c>
      <c r="F58" s="185">
        <f t="shared" si="8"/>
        <v>0</v>
      </c>
      <c r="G58" s="186">
        <f t="shared" si="9"/>
        <v>0</v>
      </c>
    </row>
    <row r="59" spans="1:16" ht="48" customHeight="1" thickBot="1">
      <c r="A59" s="21" t="s">
        <v>79</v>
      </c>
      <c r="B59" s="77"/>
      <c r="C59" s="126"/>
      <c r="D59" s="181"/>
      <c r="E59" s="127">
        <f>SUM(E52:E58)</f>
        <v>0</v>
      </c>
      <c r="F59" s="188">
        <f>SUM(F52:F58)</f>
        <v>0</v>
      </c>
      <c r="G59" s="189">
        <f t="shared" si="9"/>
        <v>0</v>
      </c>
    </row>
    <row r="60" spans="1:16" s="8" customFormat="1" ht="11" customHeight="1" thickBot="1">
      <c r="A60" s="16"/>
      <c r="B60" s="56"/>
      <c r="C60" s="105"/>
      <c r="D60" s="102"/>
      <c r="E60" s="102"/>
      <c r="F60" s="7"/>
      <c r="G60" s="17"/>
      <c r="H60" s="7"/>
      <c r="I60" s="7"/>
      <c r="J60" s="7"/>
      <c r="K60" s="7"/>
      <c r="L60" s="7"/>
      <c r="M60" s="7"/>
      <c r="N60" s="7"/>
      <c r="O60" s="7"/>
      <c r="P60" s="7"/>
    </row>
    <row r="61" spans="1:16" s="10" customFormat="1" ht="42" customHeight="1" thickBot="1">
      <c r="A61" s="226" t="s">
        <v>18</v>
      </c>
      <c r="B61" s="227" t="s">
        <v>52</v>
      </c>
      <c r="C61" s="228" t="s">
        <v>53</v>
      </c>
      <c r="D61" s="229" t="s">
        <v>54</v>
      </c>
      <c r="E61" s="229" t="s">
        <v>55</v>
      </c>
      <c r="F61" s="228" t="s">
        <v>158</v>
      </c>
      <c r="G61" s="230" t="s">
        <v>159</v>
      </c>
    </row>
    <row r="62" spans="1:16" ht="20" customHeight="1">
      <c r="A62" s="223" t="str">
        <f>'BASE PAX'!A37</f>
        <v>HOTTUBE</v>
      </c>
      <c r="B62" s="224">
        <f>'BASE PAX'!B37</f>
        <v>0</v>
      </c>
      <c r="C62" s="195">
        <f>'BASE PAX'!C37</f>
        <v>12000</v>
      </c>
      <c r="D62" s="225">
        <f t="shared" ref="D62:D71" si="10">C62*0.2+C62</f>
        <v>14400</v>
      </c>
      <c r="E62" s="225">
        <f t="shared" ref="E62:E71" si="11">D62*B62</f>
        <v>0</v>
      </c>
      <c r="F62" s="195">
        <f t="shared" ref="F62:F72" si="12">B62*C62</f>
        <v>0</v>
      </c>
      <c r="G62" s="194">
        <f t="shared" ref="G62:G72" si="13">E62-F62</f>
        <v>0</v>
      </c>
    </row>
    <row r="63" spans="1:16" ht="20" customHeight="1">
      <c r="A63" s="219" t="str">
        <f>'BASE PAX'!A38</f>
        <v>TREKKING 1/2 DAY</v>
      </c>
      <c r="B63" s="224">
        <f>'BASE PAX'!B38</f>
        <v>0</v>
      </c>
      <c r="C63" s="196">
        <f>'BASE PAX'!C38</f>
        <v>60000</v>
      </c>
      <c r="D63" s="220">
        <f t="shared" si="10"/>
        <v>72000</v>
      </c>
      <c r="E63" s="220">
        <f t="shared" si="11"/>
        <v>0</v>
      </c>
      <c r="F63" s="196">
        <f t="shared" si="12"/>
        <v>0</v>
      </c>
      <c r="G63" s="190">
        <f t="shared" si="13"/>
        <v>0</v>
      </c>
    </row>
    <row r="64" spans="1:16" ht="20" customHeight="1">
      <c r="A64" s="219" t="str">
        <f>'BASE PAX'!A39</f>
        <v>TREKKING FUK DAY</v>
      </c>
      <c r="B64" s="224">
        <f>'BASE PAX'!B39</f>
        <v>0</v>
      </c>
      <c r="C64" s="196">
        <f>'BASE PAX'!C39</f>
        <v>90000</v>
      </c>
      <c r="D64" s="220">
        <f t="shared" si="10"/>
        <v>108000</v>
      </c>
      <c r="E64" s="220">
        <f t="shared" si="11"/>
        <v>0</v>
      </c>
      <c r="F64" s="196">
        <f t="shared" si="12"/>
        <v>0</v>
      </c>
      <c r="G64" s="190">
        <f t="shared" si="13"/>
        <v>0</v>
      </c>
    </row>
    <row r="65" spans="1:16" ht="20" customHeight="1">
      <c r="A65" s="219" t="str">
        <f>'BASE PAX'!A40</f>
        <v>FLOTADA FAMILIAR</v>
      </c>
      <c r="B65" s="224">
        <f>'BASE PAX'!B40</f>
        <v>0</v>
      </c>
      <c r="C65" s="196">
        <f>'BASE PAX'!C40</f>
        <v>60000</v>
      </c>
      <c r="D65" s="220">
        <f t="shared" si="10"/>
        <v>72000</v>
      </c>
      <c r="E65" s="220">
        <f t="shared" si="11"/>
        <v>0</v>
      </c>
      <c r="F65" s="196">
        <f t="shared" si="12"/>
        <v>0</v>
      </c>
      <c r="G65" s="190">
        <f t="shared" si="13"/>
        <v>0</v>
      </c>
    </row>
    <row r="66" spans="1:16" ht="20" customHeight="1">
      <c r="A66" s="219" t="str">
        <f>'BASE PAX'!A41</f>
        <v>RAFTING 1/2 DAY</v>
      </c>
      <c r="B66" s="224">
        <f>'BASE PAX'!B41</f>
        <v>0</v>
      </c>
      <c r="C66" s="196">
        <f>'BASE PAX'!C41</f>
        <v>75000</v>
      </c>
      <c r="D66" s="220">
        <f t="shared" si="10"/>
        <v>90000</v>
      </c>
      <c r="E66" s="220">
        <f t="shared" si="11"/>
        <v>0</v>
      </c>
      <c r="F66" s="196">
        <f t="shared" si="12"/>
        <v>0</v>
      </c>
      <c r="G66" s="190">
        <f t="shared" si="13"/>
        <v>0</v>
      </c>
    </row>
    <row r="67" spans="1:16" ht="20" customHeight="1">
      <c r="A67" s="219" t="str">
        <f>'BASE PAX'!A42</f>
        <v>RAFTING FULL DAY</v>
      </c>
      <c r="B67" s="224">
        <f>'BASE PAX'!B42</f>
        <v>0</v>
      </c>
      <c r="C67" s="196">
        <f>'BASE PAX'!C42</f>
        <v>110000</v>
      </c>
      <c r="D67" s="220">
        <f t="shared" si="10"/>
        <v>132000</v>
      </c>
      <c r="E67" s="220">
        <f t="shared" si="11"/>
        <v>0</v>
      </c>
      <c r="F67" s="196">
        <f t="shared" si="12"/>
        <v>0</v>
      </c>
      <c r="G67" s="190">
        <f t="shared" si="13"/>
        <v>0</v>
      </c>
    </row>
    <row r="68" spans="1:16" ht="20" customHeight="1">
      <c r="A68" s="219" t="str">
        <f>'BASE PAX'!A43</f>
        <v>CABALGADA 1/2 DAy</v>
      </c>
      <c r="B68" s="224">
        <f>'BASE PAX'!B43</f>
        <v>0</v>
      </c>
      <c r="C68" s="196">
        <f>'BASE PAX'!C43</f>
        <v>90000</v>
      </c>
      <c r="D68" s="220">
        <f t="shared" si="10"/>
        <v>108000</v>
      </c>
      <c r="E68" s="220">
        <f t="shared" si="11"/>
        <v>0</v>
      </c>
      <c r="F68" s="196">
        <f t="shared" si="12"/>
        <v>0</v>
      </c>
      <c r="G68" s="190">
        <f t="shared" si="13"/>
        <v>0</v>
      </c>
    </row>
    <row r="69" spans="1:16" ht="20" customHeight="1">
      <c r="A69" s="219" t="str">
        <f>'BASE PAX'!A44</f>
        <v>CABALGADA FULL DAY</v>
      </c>
      <c r="B69" s="224">
        <f>'BASE PAX'!B44</f>
        <v>0</v>
      </c>
      <c r="C69" s="196">
        <f>'BASE PAX'!C44</f>
        <v>140000</v>
      </c>
      <c r="D69" s="220">
        <f t="shared" si="10"/>
        <v>168000</v>
      </c>
      <c r="E69" s="220">
        <f t="shared" si="11"/>
        <v>0</v>
      </c>
      <c r="F69" s="196">
        <f t="shared" si="12"/>
        <v>0</v>
      </c>
      <c r="G69" s="190">
        <f t="shared" si="13"/>
        <v>0</v>
      </c>
    </row>
    <row r="70" spans="1:16" ht="20" customHeight="1">
      <c r="A70" s="219" t="str">
        <f>'BASE PAX'!A45</f>
        <v>LANCHA YELCHO</v>
      </c>
      <c r="B70" s="224">
        <f>'BASE PAX'!B45</f>
        <v>0</v>
      </c>
      <c r="C70" s="196">
        <f>'BASE PAX'!C45</f>
        <v>120000</v>
      </c>
      <c r="D70" s="220">
        <f t="shared" si="10"/>
        <v>144000</v>
      </c>
      <c r="E70" s="220">
        <f t="shared" si="11"/>
        <v>0</v>
      </c>
      <c r="F70" s="196">
        <f t="shared" si="12"/>
        <v>0</v>
      </c>
      <c r="G70" s="190">
        <f t="shared" si="13"/>
        <v>0</v>
      </c>
    </row>
    <row r="71" spans="1:16" ht="20" customHeight="1" thickBot="1">
      <c r="A71" s="221" t="str">
        <f>'BASE PAX'!A46</f>
        <v>RECREACAO INFANTIL 3HS</v>
      </c>
      <c r="B71" s="224">
        <f>'BASE PAX'!B46</f>
        <v>0</v>
      </c>
      <c r="C71" s="197">
        <f>'BASE PAX'!C46</f>
        <v>30000</v>
      </c>
      <c r="D71" s="220">
        <f t="shared" si="10"/>
        <v>36000</v>
      </c>
      <c r="E71" s="222">
        <f t="shared" si="11"/>
        <v>0</v>
      </c>
      <c r="F71" s="197">
        <f t="shared" si="12"/>
        <v>0</v>
      </c>
      <c r="G71" s="192">
        <f t="shared" si="13"/>
        <v>0</v>
      </c>
    </row>
    <row r="72" spans="1:16" ht="48" customHeight="1" thickBot="1">
      <c r="A72" s="22" t="s">
        <v>84</v>
      </c>
      <c r="B72" s="79"/>
      <c r="C72" s="128"/>
      <c r="D72" s="128"/>
      <c r="E72" s="198">
        <f>SUM(E62:E71)</f>
        <v>0</v>
      </c>
      <c r="F72" s="204">
        <f t="shared" si="12"/>
        <v>0</v>
      </c>
      <c r="G72" s="203">
        <f t="shared" si="13"/>
        <v>0</v>
      </c>
    </row>
    <row r="73" spans="1:16" ht="37" customHeight="1" thickBot="1"/>
    <row r="74" spans="1:16" s="8" customFormat="1" ht="36" customHeight="1" thickBot="1">
      <c r="A74" s="23" t="s">
        <v>116</v>
      </c>
      <c r="B74" s="214" t="s">
        <v>52</v>
      </c>
      <c r="C74" s="215" t="s">
        <v>53</v>
      </c>
      <c r="D74" s="153" t="s">
        <v>54</v>
      </c>
      <c r="E74" s="153" t="s">
        <v>55</v>
      </c>
      <c r="F74" s="143" t="s">
        <v>162</v>
      </c>
      <c r="G74" s="147" t="s">
        <v>159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 ht="20" customHeight="1">
      <c r="A75" s="88" t="str">
        <f>'BASE PAX'!A50</f>
        <v>TRANSFER AEROPORTO CHEGADA</v>
      </c>
      <c r="B75" s="211">
        <f>'BASE PAX'!B50</f>
        <v>0</v>
      </c>
      <c r="C75" s="213">
        <f>'BASE PAX'!C50</f>
        <v>80000</v>
      </c>
      <c r="D75" s="231">
        <f>C75*0.2+C75</f>
        <v>96000</v>
      </c>
      <c r="E75" s="231">
        <f>D75*B75</f>
        <v>0</v>
      </c>
      <c r="F75" s="210">
        <f>B75*C75</f>
        <v>0</v>
      </c>
      <c r="G75" s="199">
        <f t="shared" ref="G75:G80" si="14">E75-F75</f>
        <v>0</v>
      </c>
    </row>
    <row r="76" spans="1:16" ht="20" customHeight="1">
      <c r="A76" s="88" t="str">
        <f>'BASE PAX'!A51</f>
        <v>TRANSFER AEROPORTO PARTIDA</v>
      </c>
      <c r="B76" s="211">
        <f>'BASE PAX'!B51</f>
        <v>0</v>
      </c>
      <c r="C76" s="212">
        <f>'BASE PAX'!C51</f>
        <v>80000</v>
      </c>
      <c r="D76" s="232">
        <f>C76*0.2+C76</f>
        <v>96000</v>
      </c>
      <c r="E76" s="232">
        <f>D76*B76</f>
        <v>0</v>
      </c>
      <c r="F76" s="210">
        <f>B76*C76</f>
        <v>0</v>
      </c>
      <c r="G76" s="200">
        <f t="shared" si="14"/>
        <v>0</v>
      </c>
    </row>
    <row r="77" spans="1:16" ht="20" customHeight="1">
      <c r="A77" s="88" t="str">
        <f>'BASE PAX'!A52</f>
        <v>TRANSFERS INTERNO</v>
      </c>
      <c r="B77" s="211">
        <f>'BASE PAX'!B52</f>
        <v>0</v>
      </c>
      <c r="C77" s="212">
        <f>'BASE PAX'!C52</f>
        <v>18000</v>
      </c>
      <c r="D77" s="232">
        <f>C77*0.2+C77</f>
        <v>21600</v>
      </c>
      <c r="E77" s="232">
        <f>D77*B77</f>
        <v>0</v>
      </c>
      <c r="F77" s="210">
        <f>B77*C77</f>
        <v>0</v>
      </c>
      <c r="G77" s="200">
        <f t="shared" si="14"/>
        <v>0</v>
      </c>
    </row>
    <row r="78" spans="1:16" ht="20" customHeight="1">
      <c r="A78" s="88" t="str">
        <f>'BASE PAX'!A53</f>
        <v>EXTRAS 1</v>
      </c>
      <c r="B78" s="211">
        <f>'BASE PAX'!B53</f>
        <v>0</v>
      </c>
      <c r="C78" s="212">
        <f>'BASE PAX'!C53</f>
        <v>150000</v>
      </c>
      <c r="D78" s="232">
        <f>C78*0.2+C78</f>
        <v>180000</v>
      </c>
      <c r="E78" s="232">
        <f>D78*B78</f>
        <v>0</v>
      </c>
      <c r="F78" s="210">
        <f>B78*C78</f>
        <v>0</v>
      </c>
      <c r="G78" s="200">
        <f t="shared" si="14"/>
        <v>0</v>
      </c>
    </row>
    <row r="79" spans="1:16" ht="20" customHeight="1" thickBot="1">
      <c r="A79" s="218" t="str">
        <f>'BASE PAX'!A54</f>
        <v>EXTRAS 2</v>
      </c>
      <c r="B79" s="211">
        <f>'BASE PAX'!B54</f>
        <v>0</v>
      </c>
      <c r="C79" s="216">
        <f>'BASE PAX'!C54</f>
        <v>0</v>
      </c>
      <c r="D79" s="233">
        <f>C79*0.2+C79</f>
        <v>0</v>
      </c>
      <c r="E79" s="233">
        <f>D79*B79</f>
        <v>0</v>
      </c>
      <c r="F79" s="217">
        <f>B79*C79</f>
        <v>0</v>
      </c>
      <c r="G79" s="201">
        <f t="shared" si="14"/>
        <v>0</v>
      </c>
    </row>
    <row r="80" spans="1:16" ht="44" customHeight="1" thickBot="1">
      <c r="A80" s="23" t="s">
        <v>89</v>
      </c>
      <c r="B80" s="80"/>
      <c r="C80" s="130"/>
      <c r="D80" s="130"/>
      <c r="E80" s="131">
        <f>SUM(E75:E79)</f>
        <v>0</v>
      </c>
      <c r="F80" s="131">
        <f>SUM(F75:F79)</f>
        <v>0</v>
      </c>
      <c r="G80" s="203">
        <f t="shared" si="14"/>
        <v>0</v>
      </c>
    </row>
    <row r="81" spans="1:16" s="8" customFormat="1" ht="11" customHeight="1" thickBot="1">
      <c r="A81" s="16"/>
      <c r="B81" s="56"/>
      <c r="C81" s="105"/>
      <c r="D81" s="102"/>
      <c r="E81" s="102"/>
      <c r="F81" s="7"/>
      <c r="G81" s="17"/>
      <c r="H81" s="7"/>
      <c r="I81" s="7"/>
      <c r="J81" s="7"/>
      <c r="K81" s="7"/>
      <c r="L81" s="7"/>
      <c r="M81" s="7"/>
      <c r="N81" s="7"/>
      <c r="O81" s="7"/>
      <c r="P81" s="7"/>
    </row>
    <row r="82" spans="1:16" s="9" customFormat="1" ht="42" customHeight="1" thickBot="1">
      <c r="A82" s="246" t="s">
        <v>117</v>
      </c>
      <c r="B82" s="247" t="s">
        <v>52</v>
      </c>
      <c r="C82" s="248" t="s">
        <v>53</v>
      </c>
      <c r="D82" s="249" t="s">
        <v>54</v>
      </c>
      <c r="E82" s="249" t="s">
        <v>55</v>
      </c>
      <c r="F82" s="248" t="s">
        <v>162</v>
      </c>
      <c r="G82" s="147" t="s">
        <v>159</v>
      </c>
    </row>
    <row r="83" spans="1:16" ht="20" customHeight="1">
      <c r="A83" s="81" t="str">
        <f>'BASE PAX'!A58</f>
        <v>WS INSTRUCTOR</v>
      </c>
      <c r="B83" s="238">
        <f>'BASE PAX'!B58</f>
        <v>0</v>
      </c>
      <c r="C83" s="239">
        <f>'BASE PAX'!C58</f>
        <v>3415000</v>
      </c>
      <c r="D83" s="240">
        <f>(C83*0.15)+C83</f>
        <v>3927250</v>
      </c>
      <c r="E83" s="240">
        <f>D83*B83</f>
        <v>0</v>
      </c>
      <c r="F83" s="234">
        <f>B83*C83</f>
        <v>0</v>
      </c>
      <c r="G83" s="199">
        <f>E83-F83</f>
        <v>0</v>
      </c>
    </row>
    <row r="84" spans="1:16" ht="20" customHeight="1">
      <c r="A84" s="81" t="str">
        <f>'BASE PAX'!A59</f>
        <v>PRODUCER FEE</v>
      </c>
      <c r="B84" s="235">
        <f>'BASE PAX'!B59</f>
        <v>0</v>
      </c>
      <c r="C84" s="236">
        <f>'BASE PAX'!C59</f>
        <v>180000</v>
      </c>
      <c r="D84" s="237">
        <f>(C84*0.15)+C84</f>
        <v>207000</v>
      </c>
      <c r="E84" s="237">
        <f>D84*B84</f>
        <v>0</v>
      </c>
      <c r="F84" s="234">
        <f>B84*C84</f>
        <v>0</v>
      </c>
      <c r="G84" s="200">
        <f>E84-F84</f>
        <v>0</v>
      </c>
    </row>
    <row r="85" spans="1:16" ht="20" customHeight="1" thickBot="1">
      <c r="A85" s="241">
        <f>'BASE PAX'!A60</f>
        <v>0</v>
      </c>
      <c r="B85" s="242">
        <f>'BASE PAX'!B60</f>
        <v>0</v>
      </c>
      <c r="C85" s="243">
        <f>'BASE PAX'!C60</f>
        <v>20000</v>
      </c>
      <c r="D85" s="244">
        <f>(C85*0.15)+C85</f>
        <v>23000</v>
      </c>
      <c r="E85" s="244">
        <f>D85*B85</f>
        <v>0</v>
      </c>
      <c r="F85" s="245">
        <f>B85*C85</f>
        <v>0</v>
      </c>
      <c r="G85" s="201">
        <f>E85-F85</f>
        <v>0</v>
      </c>
    </row>
    <row r="86" spans="1:16" ht="41" customHeight="1" thickBot="1">
      <c r="A86" s="24" t="s">
        <v>163</v>
      </c>
      <c r="B86" s="82"/>
      <c r="C86" s="132"/>
      <c r="D86" s="132"/>
      <c r="E86" s="133">
        <f>SUM(E83:E85)</f>
        <v>0</v>
      </c>
      <c r="F86" s="133">
        <f>SUM(F81:F85)</f>
        <v>0</v>
      </c>
      <c r="G86" s="203">
        <f>E86-F86</f>
        <v>0</v>
      </c>
    </row>
    <row r="87" spans="1:16" s="8" customFormat="1" ht="11" customHeight="1" thickBot="1">
      <c r="A87" s="16"/>
      <c r="B87" s="56"/>
      <c r="C87" s="105"/>
      <c r="D87" s="102"/>
      <c r="E87" s="102"/>
      <c r="F87" s="7"/>
      <c r="G87" s="17"/>
      <c r="H87" s="7"/>
      <c r="I87" s="7"/>
      <c r="J87" s="7"/>
      <c r="K87" s="7"/>
      <c r="L87" s="7"/>
      <c r="M87" s="7"/>
      <c r="N87" s="7"/>
      <c r="O87" s="7"/>
      <c r="P87" s="7"/>
    </row>
    <row r="88" spans="1:16" ht="38" customHeight="1" thickBot="1">
      <c r="A88" s="258" t="s">
        <v>164</v>
      </c>
      <c r="B88" s="259" t="s">
        <v>92</v>
      </c>
      <c r="C88" s="250" t="s">
        <v>53</v>
      </c>
      <c r="D88" s="260" t="s">
        <v>54</v>
      </c>
      <c r="E88" s="260" t="s">
        <v>55</v>
      </c>
      <c r="F88" s="250"/>
      <c r="G88" s="147" t="s">
        <v>159</v>
      </c>
    </row>
    <row r="89" spans="1:16" ht="20" customHeight="1">
      <c r="A89" s="255" t="str">
        <f>'BASE PAX'!A64</f>
        <v>COORDENAÇÃO PRODUÇÃO</v>
      </c>
      <c r="B89" s="256">
        <f>'BASE PAX'!B64</f>
        <v>0</v>
      </c>
      <c r="C89" s="257">
        <f>'BASE PAX'!C64</f>
        <v>50000</v>
      </c>
      <c r="D89" s="257">
        <f>'BASE PAX'!D64</f>
        <v>0</v>
      </c>
      <c r="E89" s="121">
        <f>D89*B89</f>
        <v>0</v>
      </c>
      <c r="F89" s="257"/>
      <c r="G89" s="199">
        <f t="shared" ref="G89:G94" si="15">E89*0.2</f>
        <v>0</v>
      </c>
    </row>
    <row r="90" spans="1:16" ht="20" customHeight="1">
      <c r="A90" s="251" t="str">
        <f>'BASE PAX'!A65</f>
        <v>EXTRA MÃO DE OBRA</v>
      </c>
      <c r="B90" s="256">
        <f>'BASE PAX'!B65</f>
        <v>0</v>
      </c>
      <c r="C90" s="253">
        <f>'BASE PAX'!C65</f>
        <v>50000</v>
      </c>
      <c r="D90" s="253">
        <f>'BASE PAX'!D65</f>
        <v>0</v>
      </c>
      <c r="E90" s="121">
        <f t="shared" ref="E90:E94" si="16">D90*B90</f>
        <v>0</v>
      </c>
      <c r="F90" s="253"/>
      <c r="G90" s="199">
        <f t="shared" si="15"/>
        <v>0</v>
      </c>
    </row>
    <row r="91" spans="1:16" ht="20" customHeight="1">
      <c r="A91" s="251" t="str">
        <f>'BASE PAX'!A66</f>
        <v>TAXA LIMPEZA CHECK IN / CHECKOUT</v>
      </c>
      <c r="B91" s="252">
        <f>'BASE PAX'!B66</f>
        <v>0</v>
      </c>
      <c r="C91" s="253">
        <f>'BASE PAX'!C66</f>
        <v>40000</v>
      </c>
      <c r="D91" s="253">
        <f>'BASE PAX'!D66</f>
        <v>0</v>
      </c>
      <c r="E91" s="121">
        <f t="shared" si="16"/>
        <v>0</v>
      </c>
      <c r="F91" s="253"/>
      <c r="G91" s="199">
        <f t="shared" si="15"/>
        <v>0</v>
      </c>
    </row>
    <row r="92" spans="1:16" ht="20" customHeight="1">
      <c r="A92" s="251" t="str">
        <f>'BASE PAX'!A67</f>
        <v>TAXA LIMPEZA DIARIA</v>
      </c>
      <c r="B92" s="254">
        <f>'BASE PAX'!B67</f>
        <v>0</v>
      </c>
      <c r="C92" s="253">
        <f>'BASE PAX'!C67</f>
        <v>30000</v>
      </c>
      <c r="D92" s="253">
        <f>'BASE PAX'!D67</f>
        <v>0</v>
      </c>
      <c r="E92" s="121">
        <f t="shared" si="16"/>
        <v>0</v>
      </c>
      <c r="F92" s="253"/>
      <c r="G92" s="199">
        <f t="shared" si="15"/>
        <v>0</v>
      </c>
    </row>
    <row r="93" spans="1:16" ht="20" customHeight="1">
      <c r="A93" s="251" t="str">
        <f>'BASE PAX'!A68</f>
        <v>SOUVENIR</v>
      </c>
      <c r="B93" s="252">
        <f>'BASE PAX'!B68</f>
        <v>0</v>
      </c>
      <c r="C93" s="253">
        <f>'BASE PAX'!C68</f>
        <v>15000</v>
      </c>
      <c r="D93" s="253">
        <f>'BASE PAX'!D68</f>
        <v>0</v>
      </c>
      <c r="E93" s="121">
        <f t="shared" si="16"/>
        <v>0</v>
      </c>
      <c r="F93" s="253"/>
      <c r="G93" s="199">
        <f t="shared" si="15"/>
        <v>0</v>
      </c>
    </row>
    <row r="94" spans="1:16" ht="20" customHeight="1" thickBot="1">
      <c r="A94" s="251" t="str">
        <f>'BASE PAX'!A69</f>
        <v>ASSISTENTE COORDENAÇÃO</v>
      </c>
      <c r="B94" s="256">
        <f>'BASE PAX'!B69</f>
        <v>0</v>
      </c>
      <c r="C94" s="253">
        <f>'BASE PAX'!C69</f>
        <v>30000</v>
      </c>
      <c r="D94" s="253">
        <f>'BASE PAX'!D69</f>
        <v>0</v>
      </c>
      <c r="E94" s="121">
        <f t="shared" si="16"/>
        <v>0</v>
      </c>
      <c r="F94" s="253"/>
      <c r="G94" s="199">
        <f t="shared" si="15"/>
        <v>0</v>
      </c>
    </row>
    <row r="95" spans="1:16" ht="41" customHeight="1" thickBot="1">
      <c r="A95" s="25" t="s">
        <v>101</v>
      </c>
      <c r="B95" s="83"/>
      <c r="C95" s="134"/>
      <c r="D95" s="134"/>
      <c r="E95" s="135">
        <f>SUM(E89:E94)</f>
        <v>0</v>
      </c>
      <c r="F95" s="135"/>
      <c r="G95" s="203">
        <f>SUM(G89:G94)</f>
        <v>0</v>
      </c>
    </row>
    <row r="96" spans="1:16" s="8" customFormat="1" ht="11" customHeight="1" thickBot="1">
      <c r="A96" s="16"/>
      <c r="B96" s="56"/>
      <c r="C96" s="105"/>
      <c r="D96" s="102"/>
      <c r="E96" s="102"/>
      <c r="F96" s="7"/>
      <c r="G96" s="17"/>
      <c r="H96" s="7"/>
      <c r="I96" s="7"/>
      <c r="J96" s="7"/>
      <c r="K96" s="7"/>
      <c r="L96" s="7"/>
      <c r="M96" s="7"/>
      <c r="N96" s="7"/>
      <c r="O96" s="7"/>
      <c r="P96" s="7"/>
    </row>
    <row r="97" spans="1:16" ht="38" customHeight="1" thickBot="1">
      <c r="A97" s="26" t="s">
        <v>165</v>
      </c>
      <c r="B97" s="27" t="s">
        <v>92</v>
      </c>
      <c r="C97" s="136" t="s">
        <v>53</v>
      </c>
      <c r="D97" s="136" t="s">
        <v>54</v>
      </c>
      <c r="E97" s="137" t="s">
        <v>55</v>
      </c>
      <c r="F97" s="20"/>
      <c r="G97" s="20"/>
    </row>
    <row r="98" spans="1:16" ht="23" customHeight="1" thickBot="1">
      <c r="A98" s="84" t="str">
        <f>'BASE PAX'!A73</f>
        <v xml:space="preserve">QUINCHO DAY USE / CABIN </v>
      </c>
      <c r="B98" s="85">
        <f>'BASE PAX'!B73</f>
        <v>0</v>
      </c>
      <c r="C98" s="138">
        <f>'BASE PAX'!C73</f>
        <v>15000</v>
      </c>
      <c r="D98" s="138">
        <f>C98+(C98*0.2)</f>
        <v>18000</v>
      </c>
      <c r="E98" s="139">
        <f>D98*B98</f>
        <v>0</v>
      </c>
      <c r="F98" s="19"/>
      <c r="G98" s="17"/>
    </row>
    <row r="99" spans="1:16" ht="42" customHeight="1" thickBot="1">
      <c r="A99" s="26" t="s">
        <v>104</v>
      </c>
      <c r="B99" s="86"/>
      <c r="C99" s="140"/>
      <c r="D99" s="140"/>
      <c r="E99" s="141">
        <f>E98</f>
        <v>0</v>
      </c>
    </row>
    <row r="100" spans="1:16" s="6" customFormat="1" ht="20" customHeight="1">
      <c r="A100" s="28"/>
      <c r="B100" s="52"/>
      <c r="C100" s="11"/>
      <c r="D100" s="11"/>
      <c r="E100" s="11"/>
      <c r="F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9" customHeight="1"/>
  </sheetData>
  <sheetProtection sheet="1" objects="1" scenarios="1"/>
  <mergeCells count="18">
    <mergeCell ref="A11:A12"/>
    <mergeCell ref="D5:F5"/>
    <mergeCell ref="A28:D28"/>
    <mergeCell ref="B5:C5"/>
    <mergeCell ref="F20:F21"/>
    <mergeCell ref="B11:B12"/>
    <mergeCell ref="D11:D12"/>
    <mergeCell ref="B9:C9"/>
    <mergeCell ref="D9:E9"/>
    <mergeCell ref="B8:C8"/>
    <mergeCell ref="D8:E8"/>
    <mergeCell ref="D6:E6"/>
    <mergeCell ref="B6:C6"/>
    <mergeCell ref="I11:K11"/>
    <mergeCell ref="D7:E7"/>
    <mergeCell ref="B7:C7"/>
    <mergeCell ref="F11:G13"/>
    <mergeCell ref="G20:G21"/>
  </mergeCells>
  <pageMargins left="0.7" right="0.7" top="0.75" bottom="0.75" header="0.3" footer="0.3"/>
  <pageSetup paperSize="9" orientation="portrait" horizontalDpi="0" verticalDpi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0"/>
  <dimension ref="A1:P101"/>
  <sheetViews>
    <sheetView topLeftCell="A2" workbookViewId="0">
      <selection activeCell="C92" sqref="C92"/>
    </sheetView>
  </sheetViews>
  <sheetFormatPr baseColWidth="10" defaultColWidth="11" defaultRowHeight="17"/>
  <cols>
    <col min="1" max="1" width="48.796875" style="7" customWidth="1"/>
    <col min="2" max="2" width="23.796875" style="52" customWidth="1"/>
    <col min="3" max="3" width="24" style="7" customWidth="1"/>
    <col min="4" max="4" width="22.796875" style="12" customWidth="1"/>
    <col min="5" max="5" width="22.19921875" style="11" customWidth="1"/>
    <col min="6" max="6" width="32.796875" style="7" customWidth="1"/>
    <col min="7" max="7" width="27.796875" style="6" customWidth="1"/>
    <col min="8" max="8" width="32.3984375" style="7" customWidth="1"/>
    <col min="9" max="9" width="23.59765625" style="7" customWidth="1"/>
    <col min="10" max="10" width="25.19921875" style="7" customWidth="1"/>
    <col min="11" max="11" width="28.796875" style="7" customWidth="1"/>
    <col min="12" max="12" width="36.19921875" style="7" customWidth="1"/>
    <col min="13" max="28" width="11" style="7" customWidth="1"/>
    <col min="29" max="16384" width="11" style="7"/>
  </cols>
  <sheetData>
    <row r="1" spans="1:16" ht="22" hidden="1" customHeight="1" thickBot="1"/>
    <row r="2" spans="1:16" ht="7" customHeight="1">
      <c r="D2" s="13"/>
    </row>
    <row r="3" spans="1:16" s="10" customFormat="1" ht="1" customHeight="1">
      <c r="A3" s="14"/>
      <c r="B3" s="53"/>
      <c r="C3" s="15" t="s">
        <v>11</v>
      </c>
      <c r="D3" s="15"/>
      <c r="E3" s="15"/>
      <c r="G3" s="9"/>
    </row>
    <row r="4" spans="1:16" s="10" customFormat="1" ht="19" customHeight="1">
      <c r="A4" s="14"/>
      <c r="B4" s="53"/>
      <c r="C4" s="15"/>
      <c r="D4" s="15"/>
      <c r="E4" s="15"/>
      <c r="G4" s="9"/>
    </row>
    <row r="5" spans="1:16" s="10" customFormat="1" ht="50" customHeight="1">
      <c r="A5" s="54" t="s">
        <v>129</v>
      </c>
      <c r="B5" s="674">
        <v>4</v>
      </c>
      <c r="C5" s="675"/>
      <c r="D5" s="739" t="s">
        <v>14</v>
      </c>
      <c r="E5" s="675"/>
      <c r="F5" s="675"/>
      <c r="G5" s="9"/>
    </row>
    <row r="6" spans="1:16" s="8" customFormat="1" ht="37" customHeight="1">
      <c r="A6" s="54" t="s">
        <v>130</v>
      </c>
      <c r="B6" s="683">
        <v>1</v>
      </c>
      <c r="C6" s="684"/>
      <c r="D6" s="682" t="s">
        <v>131</v>
      </c>
      <c r="E6" s="661"/>
      <c r="F6" s="106">
        <f>D21</f>
        <v>0</v>
      </c>
      <c r="G6" s="9"/>
      <c r="H6" s="10"/>
    </row>
    <row r="7" spans="1:16" s="8" customFormat="1" ht="33" customHeight="1">
      <c r="A7" s="55" t="s">
        <v>132</v>
      </c>
      <c r="B7" s="662">
        <f>CALENDAR!C2</f>
        <v>0</v>
      </c>
      <c r="C7" s="661"/>
      <c r="D7" s="660" t="s">
        <v>133</v>
      </c>
      <c r="E7" s="661"/>
      <c r="F7" s="107">
        <f>SUM(F12:F20)</f>
        <v>0</v>
      </c>
      <c r="G7" s="9"/>
      <c r="H7" s="10"/>
    </row>
    <row r="8" spans="1:16" s="8" customFormat="1" ht="31" customHeight="1">
      <c r="A8" s="54" t="s">
        <v>134</v>
      </c>
      <c r="B8" s="680">
        <f>CALENDAR!C3</f>
        <v>0</v>
      </c>
      <c r="C8" s="661"/>
      <c r="D8" s="681" t="s">
        <v>135</v>
      </c>
      <c r="E8" s="661"/>
      <c r="F8" s="108">
        <f>F6-F7</f>
        <v>0</v>
      </c>
      <c r="G8" s="9"/>
      <c r="H8" s="10"/>
    </row>
    <row r="9" spans="1:16" s="8" customFormat="1" ht="32" customHeight="1">
      <c r="A9" s="55" t="s">
        <v>136</v>
      </c>
      <c r="B9" s="678">
        <f>CALENDAR!J2</f>
        <v>0</v>
      </c>
      <c r="C9" s="661"/>
      <c r="D9" s="679" t="s">
        <v>137</v>
      </c>
      <c r="E9" s="661"/>
      <c r="F9" s="1"/>
      <c r="G9" s="9"/>
      <c r="H9" s="10"/>
    </row>
    <row r="10" spans="1:16" s="8" customFormat="1" ht="30" customHeight="1" thickBot="1">
      <c r="A10" s="16"/>
      <c r="B10" s="56"/>
      <c r="C10" s="6"/>
      <c r="D10" s="7"/>
      <c r="E10" s="7"/>
      <c r="F10" s="7"/>
      <c r="G10" s="17"/>
      <c r="H10" s="7"/>
      <c r="I10" s="7"/>
      <c r="J10" s="7"/>
      <c r="K10" s="7"/>
      <c r="L10" s="7"/>
      <c r="M10" s="7"/>
      <c r="N10" s="7"/>
      <c r="O10" s="7"/>
      <c r="P10" s="7"/>
    </row>
    <row r="11" spans="1:16" s="6" customFormat="1" ht="44" customHeight="1" thickBot="1">
      <c r="A11" s="671" t="s">
        <v>138</v>
      </c>
      <c r="B11" s="677" t="s">
        <v>139</v>
      </c>
      <c r="C11" s="57" t="s">
        <v>140</v>
      </c>
      <c r="D11" s="677" t="s">
        <v>141</v>
      </c>
      <c r="E11" s="7"/>
      <c r="F11" s="738" t="str">
        <f>D5</f>
        <v>CORCOVADO</v>
      </c>
      <c r="G11" s="664"/>
      <c r="H11" s="7"/>
      <c r="I11" s="658" t="s">
        <v>142</v>
      </c>
      <c r="J11" s="659"/>
      <c r="K11" s="659"/>
      <c r="L11" s="7"/>
      <c r="M11" s="7"/>
      <c r="N11" s="7"/>
      <c r="O11" s="7"/>
      <c r="P11" s="7"/>
    </row>
    <row r="12" spans="1:16" s="6" customFormat="1" ht="32" customHeight="1">
      <c r="A12" s="659"/>
      <c r="B12" s="659"/>
      <c r="C12" s="58">
        <v>0.05</v>
      </c>
      <c r="D12" s="659"/>
      <c r="E12" s="7"/>
      <c r="F12" s="665"/>
      <c r="G12" s="666"/>
      <c r="H12" s="7"/>
      <c r="I12" s="59" t="s">
        <v>126</v>
      </c>
      <c r="J12" s="60" t="s">
        <v>143</v>
      </c>
      <c r="K12" s="60" t="s">
        <v>144</v>
      </c>
      <c r="L12" s="7"/>
      <c r="M12" s="7"/>
      <c r="N12" s="7"/>
      <c r="O12" s="7"/>
      <c r="P12" s="7"/>
    </row>
    <row r="13" spans="1:16" ht="22" customHeight="1" thickBot="1">
      <c r="A13" s="61" t="s">
        <v>15</v>
      </c>
      <c r="B13" s="109">
        <f>G28</f>
        <v>0</v>
      </c>
      <c r="C13" s="109">
        <f t="shared" ref="C13:C20" si="0">B13*$C$12</f>
        <v>0</v>
      </c>
      <c r="D13" s="109">
        <f t="shared" ref="D13:D20" si="1">B13+(B13*$C$12)</f>
        <v>0</v>
      </c>
      <c r="E13" s="7"/>
      <c r="F13" s="667"/>
      <c r="G13" s="668"/>
      <c r="I13" s="3"/>
      <c r="J13" s="4"/>
      <c r="K13" s="5"/>
    </row>
    <row r="14" spans="1:16" s="6" customFormat="1" ht="20" customHeight="1">
      <c r="A14" s="62" t="s">
        <v>16</v>
      </c>
      <c r="B14" s="110">
        <f>J49</f>
        <v>0</v>
      </c>
      <c r="C14" s="110">
        <f t="shared" si="0"/>
        <v>0</v>
      </c>
      <c r="D14" s="110">
        <f t="shared" si="1"/>
        <v>0</v>
      </c>
      <c r="E14" s="7"/>
      <c r="F14" s="271" t="str">
        <f t="shared" ref="F14:F19" si="2">A14</f>
        <v>2.FOOD</v>
      </c>
      <c r="G14" s="261">
        <f>G49</f>
        <v>0</v>
      </c>
      <c r="H14" s="7"/>
      <c r="I14" s="3"/>
      <c r="J14" s="4"/>
      <c r="K14" s="5"/>
      <c r="L14" s="7"/>
      <c r="M14" s="7"/>
      <c r="N14" s="7"/>
      <c r="O14" s="7"/>
      <c r="P14" s="7"/>
    </row>
    <row r="15" spans="1:16" s="6" customFormat="1" ht="20" customHeight="1">
      <c r="A15" s="63" t="s">
        <v>17</v>
      </c>
      <c r="B15" s="111">
        <f>E59</f>
        <v>0</v>
      </c>
      <c r="C15" s="111">
        <f t="shared" si="0"/>
        <v>0</v>
      </c>
      <c r="D15" s="111">
        <f t="shared" si="1"/>
        <v>0</v>
      </c>
      <c r="E15" s="7"/>
      <c r="F15" s="272" t="str">
        <f t="shared" si="2"/>
        <v>3.DRINKS</v>
      </c>
      <c r="G15" s="262">
        <f>G59</f>
        <v>0</v>
      </c>
      <c r="H15" s="7"/>
      <c r="I15" s="3"/>
      <c r="J15" s="4"/>
      <c r="K15" s="5"/>
      <c r="L15" s="7"/>
      <c r="M15" s="7"/>
      <c r="N15" s="7"/>
      <c r="O15" s="7"/>
      <c r="P15" s="7"/>
    </row>
    <row r="16" spans="1:16" s="6" customFormat="1" ht="20" customHeight="1">
      <c r="A16" s="55" t="s">
        <v>18</v>
      </c>
      <c r="B16" s="112">
        <f>$E$72</f>
        <v>0</v>
      </c>
      <c r="C16" s="112">
        <f t="shared" si="0"/>
        <v>0</v>
      </c>
      <c r="D16" s="112">
        <f t="shared" si="1"/>
        <v>0</v>
      </c>
      <c r="E16" s="7"/>
      <c r="F16" s="273" t="str">
        <f t="shared" si="2"/>
        <v>4. ACTIVITIES</v>
      </c>
      <c r="G16" s="263">
        <f>G72</f>
        <v>0</v>
      </c>
      <c r="H16" s="7"/>
      <c r="I16" s="3"/>
      <c r="J16" s="4"/>
      <c r="K16" s="5"/>
      <c r="L16" s="7"/>
      <c r="M16" s="7"/>
      <c r="N16" s="7"/>
      <c r="O16" s="7"/>
      <c r="P16" s="7"/>
    </row>
    <row r="17" spans="1:16" s="6" customFormat="1" ht="20" customHeight="1">
      <c r="A17" s="63" t="s">
        <v>19</v>
      </c>
      <c r="B17" s="111">
        <f>$E$80</f>
        <v>0</v>
      </c>
      <c r="C17" s="111">
        <f t="shared" si="0"/>
        <v>0</v>
      </c>
      <c r="D17" s="111">
        <f t="shared" si="1"/>
        <v>0</v>
      </c>
      <c r="E17" s="7"/>
      <c r="F17" s="274" t="str">
        <f t="shared" si="2"/>
        <v>5.TRANSPORT</v>
      </c>
      <c r="G17" s="174">
        <f>G80</f>
        <v>0</v>
      </c>
      <c r="H17" s="7"/>
      <c r="I17" s="3"/>
      <c r="J17" s="4"/>
      <c r="K17" s="5"/>
      <c r="L17" s="7"/>
      <c r="M17" s="7"/>
      <c r="N17" s="7"/>
      <c r="O17" s="7"/>
      <c r="P17" s="7"/>
    </row>
    <row r="18" spans="1:16" s="6" customFormat="1" ht="20" customHeight="1">
      <c r="A18" s="64" t="s">
        <v>20</v>
      </c>
      <c r="B18" s="113">
        <f>$E$86</f>
        <v>0</v>
      </c>
      <c r="C18" s="113">
        <f t="shared" si="0"/>
        <v>0</v>
      </c>
      <c r="D18" s="113">
        <f t="shared" si="1"/>
        <v>0</v>
      </c>
      <c r="E18" s="10"/>
      <c r="F18" s="275" t="str">
        <f t="shared" si="2"/>
        <v>6.EXPERIENCES</v>
      </c>
      <c r="G18" s="264">
        <f>G86</f>
        <v>0</v>
      </c>
      <c r="H18" s="7"/>
      <c r="I18" s="3"/>
      <c r="J18" s="4"/>
      <c r="K18" s="5"/>
      <c r="L18" s="7"/>
      <c r="M18" s="7"/>
      <c r="N18" s="7"/>
      <c r="O18" s="7"/>
      <c r="P18" s="7"/>
    </row>
    <row r="19" spans="1:16" s="6" customFormat="1" ht="20" customHeight="1">
      <c r="A19" s="65" t="s">
        <v>21</v>
      </c>
      <c r="B19" s="114">
        <f>$E$95</f>
        <v>0</v>
      </c>
      <c r="C19" s="114">
        <f t="shared" si="0"/>
        <v>0</v>
      </c>
      <c r="D19" s="114">
        <f t="shared" si="1"/>
        <v>0</v>
      </c>
      <c r="E19" s="7"/>
      <c r="F19" s="276" t="str">
        <f t="shared" si="2"/>
        <v>7.EXTRAS</v>
      </c>
      <c r="G19" s="151">
        <f>G95</f>
        <v>0</v>
      </c>
      <c r="H19" s="7"/>
      <c r="I19" s="3"/>
      <c r="J19" s="4"/>
      <c r="K19" s="5"/>
      <c r="L19" s="7"/>
      <c r="M19" s="7"/>
      <c r="N19" s="7"/>
      <c r="O19" s="7"/>
      <c r="P19" s="7"/>
    </row>
    <row r="20" spans="1:16" s="6" customFormat="1" ht="20" customHeight="1" thickBot="1">
      <c r="A20" s="66" t="s">
        <v>22</v>
      </c>
      <c r="B20" s="115">
        <f>$E$99</f>
        <v>0</v>
      </c>
      <c r="C20" s="115">
        <f t="shared" si="0"/>
        <v>0</v>
      </c>
      <c r="D20" s="115">
        <f t="shared" si="1"/>
        <v>0</v>
      </c>
      <c r="E20" s="7"/>
      <c r="F20" s="676" t="s">
        <v>145</v>
      </c>
      <c r="G20" s="669">
        <f>G14+G15+G16+G17+G18+G19</f>
        <v>0</v>
      </c>
      <c r="H20" s="7"/>
      <c r="I20" s="3"/>
      <c r="J20" s="4"/>
      <c r="K20" s="5"/>
      <c r="L20" s="7"/>
      <c r="M20" s="7"/>
      <c r="N20" s="7"/>
      <c r="O20" s="7"/>
      <c r="P20" s="7"/>
    </row>
    <row r="21" spans="1:16" ht="35" customHeight="1" thickBot="1">
      <c r="A21" s="67" t="s">
        <v>146</v>
      </c>
      <c r="B21" s="116">
        <f>SUM(B13:B20)</f>
        <v>0</v>
      </c>
      <c r="C21" s="116"/>
      <c r="D21" s="116">
        <f>SUM(D13:D20)</f>
        <v>0</v>
      </c>
      <c r="E21" s="51"/>
      <c r="F21" s="670"/>
      <c r="G21" s="670"/>
    </row>
    <row r="22" spans="1:16" s="8" customFormat="1" ht="11" customHeight="1" thickBot="1">
      <c r="A22" s="16"/>
      <c r="B22" s="56"/>
      <c r="C22" s="6"/>
      <c r="D22" s="7"/>
      <c r="E22" s="7"/>
      <c r="F22" s="7"/>
      <c r="G22" s="17"/>
      <c r="H22" s="7"/>
      <c r="I22" s="7"/>
      <c r="J22" s="7"/>
      <c r="K22" s="7"/>
      <c r="L22" s="7"/>
      <c r="M22" s="7"/>
      <c r="N22" s="7"/>
      <c r="O22" s="7"/>
      <c r="P22" s="7"/>
    </row>
    <row r="23" spans="1:16" ht="44" customHeight="1" thickBot="1">
      <c r="A23" s="68" t="s">
        <v>114</v>
      </c>
      <c r="B23" s="69" t="s">
        <v>52</v>
      </c>
      <c r="C23" s="69" t="s">
        <v>147</v>
      </c>
      <c r="D23" s="69" t="s">
        <v>148</v>
      </c>
      <c r="E23" s="70" t="s">
        <v>149</v>
      </c>
      <c r="F23" s="70" t="s">
        <v>150</v>
      </c>
      <c r="G23" s="70" t="s">
        <v>151</v>
      </c>
    </row>
    <row r="24" spans="1:16" ht="20" customHeight="1">
      <c r="A24" s="71" t="s">
        <v>174</v>
      </c>
      <c r="B24" s="93">
        <v>0</v>
      </c>
      <c r="C24" s="117">
        <f>398381.8</f>
        <v>398381.8</v>
      </c>
      <c r="D24" s="118"/>
      <c r="E24" s="119">
        <f>(C24+D24)*$B$9*B24</f>
        <v>0</v>
      </c>
      <c r="F24" s="2">
        <v>0</v>
      </c>
      <c r="G24" s="119">
        <f>E24-(E24*F24)</f>
        <v>0</v>
      </c>
    </row>
    <row r="25" spans="1:16" ht="20" customHeight="1">
      <c r="A25" s="71" t="s">
        <v>175</v>
      </c>
      <c r="B25" s="93">
        <v>1</v>
      </c>
      <c r="C25" s="117">
        <f>398381.8</f>
        <v>398381.8</v>
      </c>
      <c r="D25" s="118">
        <v>50000</v>
      </c>
      <c r="E25" s="119">
        <f>(C25+D25)*$B$9*B25</f>
        <v>0</v>
      </c>
      <c r="F25" s="2">
        <v>0</v>
      </c>
      <c r="G25" s="119">
        <f>E25-(E25*F25)</f>
        <v>0</v>
      </c>
    </row>
    <row r="26" spans="1:16" ht="20" customHeight="1">
      <c r="A26" s="71" t="s">
        <v>176</v>
      </c>
      <c r="B26" s="93">
        <v>0</v>
      </c>
      <c r="C26" s="117">
        <f>358543.62</f>
        <v>358543.62</v>
      </c>
      <c r="D26" s="118"/>
      <c r="E26" s="119">
        <f>(C26+D26)*$B$9*B26</f>
        <v>0</v>
      </c>
      <c r="F26" s="2">
        <v>0</v>
      </c>
      <c r="G26" s="119">
        <f>E26-(E26*F26)</f>
        <v>0</v>
      </c>
    </row>
    <row r="27" spans="1:16" ht="20" customHeight="1" thickBot="1">
      <c r="A27" s="71" t="s">
        <v>177</v>
      </c>
      <c r="B27" s="93">
        <v>0</v>
      </c>
      <c r="C27" s="117">
        <f>358543.62</f>
        <v>358543.62</v>
      </c>
      <c r="D27" s="118">
        <v>50000</v>
      </c>
      <c r="E27" s="119">
        <f>(C27+D27)*$B$9*B27</f>
        <v>0</v>
      </c>
      <c r="F27" s="2">
        <v>0</v>
      </c>
      <c r="G27" s="119">
        <f>E27-(E27*F27)</f>
        <v>0</v>
      </c>
    </row>
    <row r="28" spans="1:16" ht="29" customHeight="1" thickBot="1">
      <c r="A28" s="672" t="s">
        <v>156</v>
      </c>
      <c r="B28" s="673"/>
      <c r="C28" s="673"/>
      <c r="D28" s="673"/>
      <c r="E28" s="72"/>
      <c r="F28" s="73"/>
      <c r="G28" s="120">
        <f>SUM(G24:G27)</f>
        <v>0</v>
      </c>
    </row>
    <row r="29" spans="1:16" s="8" customFormat="1" ht="11" customHeight="1" thickBot="1">
      <c r="A29" s="16"/>
      <c r="B29" s="56"/>
      <c r="C29" s="6"/>
      <c r="D29" s="7"/>
      <c r="E29" s="7"/>
      <c r="F29" s="7"/>
      <c r="G29" s="17"/>
      <c r="H29" s="7"/>
      <c r="I29" s="286"/>
      <c r="J29" s="7"/>
      <c r="K29" s="7"/>
      <c r="L29" s="7"/>
      <c r="M29" s="7"/>
      <c r="N29" s="7"/>
      <c r="O29" s="7"/>
      <c r="P29" s="7"/>
    </row>
    <row r="30" spans="1:16" s="10" customFormat="1" ht="40" customHeight="1" thickBot="1">
      <c r="A30" s="18" t="s">
        <v>51</v>
      </c>
      <c r="B30" s="159" t="s">
        <v>52</v>
      </c>
      <c r="C30" s="160" t="s">
        <v>53</v>
      </c>
      <c r="D30" s="153" t="s">
        <v>54</v>
      </c>
      <c r="E30" s="149" t="s">
        <v>157</v>
      </c>
      <c r="F30" s="103" t="s">
        <v>158</v>
      </c>
      <c r="G30" s="147" t="s">
        <v>159</v>
      </c>
      <c r="I30" s="286"/>
    </row>
    <row r="31" spans="1:16" ht="20" customHeight="1" thickBot="1">
      <c r="A31" s="154" t="str">
        <f>'BASE PAX'!A6</f>
        <v>BREAKFAST</v>
      </c>
      <c r="B31" s="285">
        <f>(B5*B9*'BASE PAX'!G6)+('BASE PAX'!H6*B6*B9)</f>
        <v>0</v>
      </c>
      <c r="C31" s="121"/>
      <c r="D31" s="144"/>
      <c r="E31" s="283">
        <v>0</v>
      </c>
      <c r="F31" s="122">
        <f t="shared" ref="F31:F46" si="3">B31*C31</f>
        <v>0</v>
      </c>
      <c r="G31" s="325">
        <f>0.2*B31</f>
        <v>0</v>
      </c>
      <c r="H31" s="351" t="str">
        <f>A31</f>
        <v>BREAKFAST</v>
      </c>
      <c r="I31" s="353">
        <f>B31</f>
        <v>0</v>
      </c>
    </row>
    <row r="32" spans="1:16" ht="20" customHeight="1">
      <c r="A32" s="155" t="str">
        <f>'BASE PAX'!A7</f>
        <v>LUNCH 1</v>
      </c>
      <c r="B32" s="74">
        <f>($B$5+$B$6)*'BASE PAX'!B7</f>
        <v>0</v>
      </c>
      <c r="C32" s="123">
        <f>'BASE PAX'!C7</f>
        <v>40000</v>
      </c>
      <c r="D32" s="125">
        <f>'BASE PAX'!D7</f>
        <v>48000</v>
      </c>
      <c r="E32" s="151">
        <f t="shared" ref="E32:E46" si="4">D32*B32</f>
        <v>0</v>
      </c>
      <c r="F32" s="124">
        <f t="shared" si="3"/>
        <v>0</v>
      </c>
      <c r="G32" s="146">
        <f t="shared" ref="G32:G46" si="5">E32-F32</f>
        <v>0</v>
      </c>
      <c r="I32" s="290"/>
    </row>
    <row r="33" spans="1:11" ht="20" customHeight="1">
      <c r="A33" s="155" t="str">
        <f>'BASE PAX'!A8</f>
        <v>LUNCH 2</v>
      </c>
      <c r="B33" s="74">
        <f>($B$5+$B$6)*'BASE PAX'!B8</f>
        <v>0</v>
      </c>
      <c r="C33" s="123">
        <f>'BASE PAX'!C8</f>
        <v>40000</v>
      </c>
      <c r="D33" s="125">
        <f>'BASE PAX'!D8</f>
        <v>48000</v>
      </c>
      <c r="E33" s="151">
        <f t="shared" si="4"/>
        <v>0</v>
      </c>
      <c r="F33" s="124">
        <f t="shared" si="3"/>
        <v>0</v>
      </c>
      <c r="G33" s="146">
        <f t="shared" si="5"/>
        <v>0</v>
      </c>
      <c r="I33" s="290"/>
    </row>
    <row r="34" spans="1:11" ht="20" customHeight="1">
      <c r="A34" s="155" t="str">
        <f>'BASE PAX'!A9</f>
        <v>LUNCH 3</v>
      </c>
      <c r="B34" s="74">
        <f>($B$5+$B$6)*'BASE PAX'!B9</f>
        <v>0</v>
      </c>
      <c r="C34" s="123">
        <f>'BASE PAX'!C9</f>
        <v>40000</v>
      </c>
      <c r="D34" s="125">
        <f>'BASE PAX'!D9</f>
        <v>48000</v>
      </c>
      <c r="E34" s="151">
        <f t="shared" si="4"/>
        <v>0</v>
      </c>
      <c r="F34" s="124">
        <f t="shared" si="3"/>
        <v>0</v>
      </c>
      <c r="G34" s="146">
        <f t="shared" si="5"/>
        <v>0</v>
      </c>
      <c r="I34" s="290"/>
    </row>
    <row r="35" spans="1:11" ht="20" customHeight="1">
      <c r="A35" s="155" t="str">
        <f>'BASE PAX'!A10</f>
        <v>LUNCH 4</v>
      </c>
      <c r="B35" s="74">
        <f>($B$5+$B$6)*'BASE PAX'!B10</f>
        <v>0</v>
      </c>
      <c r="C35" s="123">
        <f>'BASE PAX'!C10</f>
        <v>45000</v>
      </c>
      <c r="D35" s="125">
        <f>'BASE PAX'!D10</f>
        <v>54000</v>
      </c>
      <c r="E35" s="151">
        <f t="shared" si="4"/>
        <v>0</v>
      </c>
      <c r="F35" s="124">
        <f t="shared" si="3"/>
        <v>0</v>
      </c>
      <c r="G35" s="146">
        <f t="shared" si="5"/>
        <v>0</v>
      </c>
      <c r="I35" s="290"/>
    </row>
    <row r="36" spans="1:11" ht="20" customHeight="1">
      <c r="A36" s="155" t="str">
        <f>'BASE PAX'!A11</f>
        <v>LUNCH 5</v>
      </c>
      <c r="B36" s="74">
        <f>($B$5+$B$6)*'BASE PAX'!B11</f>
        <v>0</v>
      </c>
      <c r="C36" s="123">
        <f>'BASE PAX'!C11</f>
        <v>50000</v>
      </c>
      <c r="D36" s="125">
        <f>'BASE PAX'!D11</f>
        <v>60000</v>
      </c>
      <c r="E36" s="151">
        <f t="shared" si="4"/>
        <v>0</v>
      </c>
      <c r="F36" s="124">
        <f t="shared" si="3"/>
        <v>0</v>
      </c>
      <c r="G36" s="146">
        <f t="shared" si="5"/>
        <v>0</v>
      </c>
      <c r="I36" s="290"/>
    </row>
    <row r="37" spans="1:11" ht="20" customHeight="1">
      <c r="A37" s="155" t="str">
        <f>'BASE PAX'!A12</f>
        <v>LUNCH 6</v>
      </c>
      <c r="B37" s="74">
        <f>($B$5+$B$6)*'BASE PAX'!B12</f>
        <v>0</v>
      </c>
      <c r="C37" s="123">
        <f>'BASE PAX'!C12</f>
        <v>0</v>
      </c>
      <c r="D37" s="125">
        <f>'BASE PAX'!D12</f>
        <v>0</v>
      </c>
      <c r="E37" s="151">
        <f t="shared" si="4"/>
        <v>0</v>
      </c>
      <c r="F37" s="124">
        <f t="shared" si="3"/>
        <v>0</v>
      </c>
      <c r="G37" s="146">
        <f t="shared" si="5"/>
        <v>0</v>
      </c>
      <c r="I37" s="290"/>
    </row>
    <row r="38" spans="1:11" ht="20" customHeight="1">
      <c r="A38" s="155" t="str">
        <f>'BASE PAX'!A13</f>
        <v>LUNCH 7</v>
      </c>
      <c r="B38" s="74">
        <f>($B$5+$B$6)*'BASE PAX'!B13</f>
        <v>0</v>
      </c>
      <c r="C38" s="123">
        <f>'BASE PAX'!C13</f>
        <v>5000</v>
      </c>
      <c r="D38" s="125">
        <f>'BASE PAX'!D13</f>
        <v>6000</v>
      </c>
      <c r="E38" s="151">
        <f t="shared" si="4"/>
        <v>0</v>
      </c>
      <c r="F38" s="124">
        <f t="shared" si="3"/>
        <v>0</v>
      </c>
      <c r="G38" s="146">
        <f t="shared" si="5"/>
        <v>0</v>
      </c>
      <c r="I38" s="290"/>
    </row>
    <row r="39" spans="1:11" ht="20" customHeight="1">
      <c r="A39" s="156" t="str">
        <f>'BASE PAX'!A14</f>
        <v>SNACKS</v>
      </c>
      <c r="B39" s="75">
        <f>($B$5+$B$6)*'BASE PAX'!B14</f>
        <v>0</v>
      </c>
      <c r="C39" s="125">
        <f>'BASE PAX'!C14</f>
        <v>8000</v>
      </c>
      <c r="D39" s="145">
        <f>'BASE PAX'!D14</f>
        <v>9600</v>
      </c>
      <c r="E39" s="150">
        <f t="shared" si="4"/>
        <v>0</v>
      </c>
      <c r="F39" s="122">
        <f t="shared" si="3"/>
        <v>0</v>
      </c>
      <c r="G39" s="146">
        <f t="shared" si="5"/>
        <v>0</v>
      </c>
      <c r="I39" s="290"/>
    </row>
    <row r="40" spans="1:11" ht="20" customHeight="1">
      <c r="A40" s="155" t="str">
        <f>'BASE PAX'!A15</f>
        <v>DINNER 1</v>
      </c>
      <c r="B40" s="74">
        <f>($B$5+$B$6)*'BASE PAX'!B15</f>
        <v>0</v>
      </c>
      <c r="C40" s="123">
        <f>'BASE PAX'!C15</f>
        <v>70000</v>
      </c>
      <c r="D40" s="125">
        <f>'BASE PAX'!D15</f>
        <v>84000</v>
      </c>
      <c r="E40" s="151">
        <f t="shared" si="4"/>
        <v>0</v>
      </c>
      <c r="F40" s="124">
        <f t="shared" si="3"/>
        <v>0</v>
      </c>
      <c r="G40" s="146">
        <f t="shared" si="5"/>
        <v>0</v>
      </c>
      <c r="H40" s="287"/>
      <c r="I40" s="291"/>
    </row>
    <row r="41" spans="1:11" ht="20" customHeight="1">
      <c r="A41" s="155" t="str">
        <f>'BASE PAX'!A16</f>
        <v>DINNER 2</v>
      </c>
      <c r="B41" s="74">
        <f>($B$5+$B$6)*'BASE PAX'!B16</f>
        <v>0</v>
      </c>
      <c r="C41" s="123">
        <f>'BASE PAX'!C16</f>
        <v>25000</v>
      </c>
      <c r="D41" s="125">
        <f>'BASE PAX'!D16</f>
        <v>30000</v>
      </c>
      <c r="E41" s="151">
        <f t="shared" si="4"/>
        <v>0</v>
      </c>
      <c r="F41" s="124">
        <f t="shared" si="3"/>
        <v>0</v>
      </c>
      <c r="G41" s="146">
        <f t="shared" si="5"/>
        <v>0</v>
      </c>
      <c r="I41" s="290"/>
    </row>
    <row r="42" spans="1:11" ht="20" customHeight="1">
      <c r="A42" s="155" t="str">
        <f>'BASE PAX'!A17</f>
        <v>DINNER 3</v>
      </c>
      <c r="B42" s="74">
        <f>($B$5+$B$6)*'BASE PAX'!B17</f>
        <v>0</v>
      </c>
      <c r="C42" s="123">
        <f>'BASE PAX'!C17</f>
        <v>50000</v>
      </c>
      <c r="D42" s="125">
        <f>'BASE PAX'!D17</f>
        <v>60000</v>
      </c>
      <c r="E42" s="151">
        <f t="shared" si="4"/>
        <v>0</v>
      </c>
      <c r="F42" s="124">
        <f t="shared" si="3"/>
        <v>0</v>
      </c>
      <c r="G42" s="146">
        <f t="shared" si="5"/>
        <v>0</v>
      </c>
      <c r="I42" s="290"/>
    </row>
    <row r="43" spans="1:11" ht="20" customHeight="1">
      <c r="A43" s="155" t="str">
        <f>'BASE PAX'!A18</f>
        <v>DINNER 4</v>
      </c>
      <c r="B43" s="74">
        <f>($B$5+$B$6)*'BASE PAX'!B18</f>
        <v>0</v>
      </c>
      <c r="C43" s="123">
        <f>'BASE PAX'!C18</f>
        <v>65000</v>
      </c>
      <c r="D43" s="125">
        <f>'BASE PAX'!D18</f>
        <v>78000</v>
      </c>
      <c r="E43" s="151">
        <f t="shared" si="4"/>
        <v>0</v>
      </c>
      <c r="F43" s="124">
        <f t="shared" si="3"/>
        <v>0</v>
      </c>
      <c r="G43" s="146">
        <f t="shared" si="5"/>
        <v>0</v>
      </c>
      <c r="I43" s="9"/>
    </row>
    <row r="44" spans="1:11" ht="20" customHeight="1">
      <c r="A44" s="155" t="str">
        <f>'BASE PAX'!A19</f>
        <v>DINNER 5</v>
      </c>
      <c r="B44" s="74">
        <f>($B$5+$B$6)*'BASE PAX'!B19</f>
        <v>0</v>
      </c>
      <c r="C44" s="123">
        <f>'BASE PAX'!C19</f>
        <v>75000</v>
      </c>
      <c r="D44" s="125">
        <f>'BASE PAX'!D19</f>
        <v>90000</v>
      </c>
      <c r="E44" s="151">
        <f t="shared" si="4"/>
        <v>0</v>
      </c>
      <c r="F44" s="124">
        <f t="shared" si="3"/>
        <v>0</v>
      </c>
      <c r="G44" s="146">
        <f t="shared" si="5"/>
        <v>0</v>
      </c>
      <c r="I44" s="9"/>
    </row>
    <row r="45" spans="1:11" ht="20" customHeight="1">
      <c r="A45" s="155" t="str">
        <f>'BASE PAX'!A20</f>
        <v>DINNER 6</v>
      </c>
      <c r="B45" s="74">
        <f>($B$5+$B$6)*'BASE PAX'!B20</f>
        <v>0</v>
      </c>
      <c r="C45" s="123">
        <f>'BASE PAX'!C20</f>
        <v>0</v>
      </c>
      <c r="D45" s="125">
        <f>'BASE PAX'!D20</f>
        <v>0</v>
      </c>
      <c r="E45" s="151">
        <f t="shared" si="4"/>
        <v>0</v>
      </c>
      <c r="F45" s="124">
        <f t="shared" si="3"/>
        <v>0</v>
      </c>
      <c r="G45" s="146">
        <f t="shared" si="5"/>
        <v>0</v>
      </c>
      <c r="I45" s="9"/>
    </row>
    <row r="46" spans="1:11" ht="20" customHeight="1" thickBot="1">
      <c r="A46" s="155" t="str">
        <f>'BASE PAX'!A21</f>
        <v>DINNER 7</v>
      </c>
      <c r="B46" s="74">
        <f>($B$5+$B$6)*'BASE PAX'!B21</f>
        <v>0</v>
      </c>
      <c r="C46" s="123">
        <f>'BASE PAX'!C21</f>
        <v>75000</v>
      </c>
      <c r="D46" s="125">
        <f>'BASE PAX'!D21</f>
        <v>90000</v>
      </c>
      <c r="E46" s="151">
        <f t="shared" si="4"/>
        <v>0</v>
      </c>
      <c r="F46" s="124">
        <f t="shared" si="3"/>
        <v>0</v>
      </c>
      <c r="G46" s="146">
        <f t="shared" si="5"/>
        <v>0</v>
      </c>
      <c r="I46" s="10"/>
    </row>
    <row r="47" spans="1:11" ht="20" customHeight="1">
      <c r="A47" s="155" t="str">
        <f>'BASE PAX'!A22</f>
        <v>QUANT. TOTAL | PADRAO ALMOÇO</v>
      </c>
      <c r="B47" s="74">
        <f>'BASE PAX'!B22</f>
        <v>0</v>
      </c>
      <c r="C47" s="123"/>
      <c r="D47" s="125"/>
      <c r="E47" s="151"/>
      <c r="F47" s="124"/>
      <c r="G47" s="325">
        <f>0.2*I47</f>
        <v>0</v>
      </c>
      <c r="H47" s="338" t="str">
        <f>A47</f>
        <v>QUANT. TOTAL | PADRAO ALMOÇO</v>
      </c>
      <c r="I47" s="349">
        <f>(B5*B47*'BASE PAX'!G22)+(B6*B47*'BASE PAX'!H22)</f>
        <v>0</v>
      </c>
      <c r="J47" s="328"/>
      <c r="K47" s="329"/>
    </row>
    <row r="48" spans="1:11" ht="20" customHeight="1" thickBot="1">
      <c r="A48" s="163" t="str">
        <f>'BASE PAX'!A23</f>
        <v>QUANT. TOTAL | PADRAO JANTAR</v>
      </c>
      <c r="B48" s="164">
        <f>'BASE PAX'!B23</f>
        <v>0</v>
      </c>
      <c r="C48" s="165"/>
      <c r="D48" s="166"/>
      <c r="E48" s="167"/>
      <c r="F48" s="168"/>
      <c r="G48" s="326">
        <f>0.2*I48</f>
        <v>0</v>
      </c>
      <c r="H48" s="347" t="str">
        <f>A48</f>
        <v>QUANT. TOTAL | PADRAO JANTAR</v>
      </c>
      <c r="I48" s="335">
        <f>(B5*B48*'BASE PAX'!G23)+(B6*B48*'BASE PAX'!H23)</f>
        <v>0</v>
      </c>
      <c r="J48" s="330"/>
      <c r="K48" s="331"/>
    </row>
    <row r="49" spans="1:16" ht="29" customHeight="1" thickBot="1">
      <c r="A49" s="161" t="s">
        <v>72</v>
      </c>
      <c r="B49" s="157"/>
      <c r="C49" s="158"/>
      <c r="D49" s="303"/>
      <c r="E49" s="104">
        <f>SUM(E31:E48)</f>
        <v>0</v>
      </c>
      <c r="F49" s="104">
        <f>SUM(F31:F48)</f>
        <v>0</v>
      </c>
      <c r="G49" s="327">
        <f>SUM(G31:G48)</f>
        <v>0</v>
      </c>
      <c r="H49" s="341" t="s">
        <v>55</v>
      </c>
      <c r="I49" s="342">
        <f>I31+I47+I48</f>
        <v>0</v>
      </c>
      <c r="J49" s="359">
        <f>I49+E49</f>
        <v>0</v>
      </c>
      <c r="K49" s="333" t="s">
        <v>160</v>
      </c>
    </row>
    <row r="50" spans="1:16" s="8" customFormat="1" ht="11" customHeight="1" thickBot="1">
      <c r="A50" s="16"/>
      <c r="B50" s="56"/>
      <c r="C50" s="105"/>
      <c r="D50" s="102"/>
      <c r="E50" s="102"/>
      <c r="F50" s="7"/>
      <c r="G50" s="17"/>
      <c r="H50" s="7"/>
      <c r="I50" s="7"/>
      <c r="J50" s="7"/>
      <c r="K50" s="7"/>
      <c r="L50" s="7"/>
      <c r="M50" s="7"/>
      <c r="N50" s="7"/>
      <c r="O50" s="7"/>
      <c r="P50" s="7"/>
    </row>
    <row r="51" spans="1:16" ht="34" customHeight="1" thickBot="1">
      <c r="A51" s="21" t="s">
        <v>161</v>
      </c>
      <c r="B51" s="207" t="s">
        <v>52</v>
      </c>
      <c r="C51" s="208" t="s">
        <v>53</v>
      </c>
      <c r="D51" s="209" t="s">
        <v>54</v>
      </c>
      <c r="E51" s="172" t="s">
        <v>55</v>
      </c>
      <c r="F51" s="142" t="s">
        <v>158</v>
      </c>
      <c r="G51" s="182" t="s">
        <v>159</v>
      </c>
    </row>
    <row r="52" spans="1:16" ht="20" customHeight="1">
      <c r="A52" s="76" t="str">
        <f>'BASE PAX'!A27</f>
        <v>SUCOS</v>
      </c>
      <c r="B52" s="205">
        <f>'BASE PAX'!B27</f>
        <v>0</v>
      </c>
      <c r="C52" s="193">
        <f>'BASE PAX'!C27</f>
        <v>0</v>
      </c>
      <c r="D52" s="206">
        <f t="shared" ref="D52:D58" si="6">(C52*0.2)+C52</f>
        <v>0</v>
      </c>
      <c r="E52" s="174">
        <f t="shared" ref="E52:E58" si="7">D52*B52</f>
        <v>0</v>
      </c>
      <c r="F52" s="173">
        <f t="shared" ref="F52:F58" si="8">B52*C52</f>
        <v>0</v>
      </c>
      <c r="G52" s="183">
        <f t="shared" ref="G52:G59" si="9">E52-F52</f>
        <v>0</v>
      </c>
    </row>
    <row r="53" spans="1:16" ht="20" customHeight="1">
      <c r="A53" s="76" t="str">
        <f>'BASE PAX'!A28</f>
        <v>SUCOS</v>
      </c>
      <c r="B53" s="205">
        <f>'BASE PAX'!B28</f>
        <v>0</v>
      </c>
      <c r="C53" s="175">
        <f>'BASE PAX'!C28</f>
        <v>0</v>
      </c>
      <c r="D53" s="176">
        <f t="shared" si="6"/>
        <v>0</v>
      </c>
      <c r="E53" s="174">
        <f t="shared" si="7"/>
        <v>0</v>
      </c>
      <c r="F53" s="173">
        <f t="shared" si="8"/>
        <v>0</v>
      </c>
      <c r="G53" s="183">
        <f t="shared" si="9"/>
        <v>0</v>
      </c>
    </row>
    <row r="54" spans="1:16" ht="20" customHeight="1">
      <c r="A54" s="87" t="str">
        <f>'BASE PAX'!A29</f>
        <v>CERVEJAS</v>
      </c>
      <c r="B54" s="205">
        <f>'BASE PAX'!B29</f>
        <v>0</v>
      </c>
      <c r="C54" s="175">
        <f>'BASE PAX'!C29</f>
        <v>2000</v>
      </c>
      <c r="D54" s="176">
        <f t="shared" si="6"/>
        <v>2400</v>
      </c>
      <c r="E54" s="174">
        <f t="shared" si="7"/>
        <v>0</v>
      </c>
      <c r="F54" s="173">
        <f t="shared" si="8"/>
        <v>0</v>
      </c>
      <c r="G54" s="183">
        <f t="shared" si="9"/>
        <v>0</v>
      </c>
    </row>
    <row r="55" spans="1:16" ht="20" customHeight="1">
      <c r="A55" s="87" t="str">
        <f>'BASE PAX'!A30</f>
        <v>VINHOS</v>
      </c>
      <c r="B55" s="205">
        <f>'BASE PAX'!B30</f>
        <v>0</v>
      </c>
      <c r="C55" s="175">
        <f>'BASE PAX'!C30</f>
        <v>8000</v>
      </c>
      <c r="D55" s="176">
        <f t="shared" si="6"/>
        <v>9600</v>
      </c>
      <c r="E55" s="174">
        <f t="shared" si="7"/>
        <v>0</v>
      </c>
      <c r="F55" s="173">
        <f t="shared" si="8"/>
        <v>0</v>
      </c>
      <c r="G55" s="183">
        <f t="shared" si="9"/>
        <v>0</v>
      </c>
    </row>
    <row r="56" spans="1:16" ht="20" customHeight="1">
      <c r="A56" s="87" t="str">
        <f>'BASE PAX'!A31</f>
        <v>DRINKS</v>
      </c>
      <c r="B56" s="205">
        <f>'BASE PAX'!B31</f>
        <v>0</v>
      </c>
      <c r="C56" s="175">
        <f>'BASE PAX'!C31</f>
        <v>15000</v>
      </c>
      <c r="D56" s="176">
        <f t="shared" si="6"/>
        <v>18000</v>
      </c>
      <c r="E56" s="174">
        <f t="shared" si="7"/>
        <v>0</v>
      </c>
      <c r="F56" s="173">
        <f t="shared" si="8"/>
        <v>0</v>
      </c>
      <c r="G56" s="183">
        <f t="shared" si="9"/>
        <v>0</v>
      </c>
    </row>
    <row r="57" spans="1:16" ht="20" customHeight="1">
      <c r="A57" s="87" t="str">
        <f>'BASE PAX'!A32</f>
        <v>COOLER</v>
      </c>
      <c r="B57" s="205">
        <f>'BASE PAX'!B32</f>
        <v>0</v>
      </c>
      <c r="C57" s="175">
        <f>'BASE PAX'!C32</f>
        <v>5000</v>
      </c>
      <c r="D57" s="176">
        <f t="shared" si="6"/>
        <v>6000</v>
      </c>
      <c r="E57" s="174">
        <f t="shared" si="7"/>
        <v>0</v>
      </c>
      <c r="F57" s="173">
        <f t="shared" si="8"/>
        <v>0</v>
      </c>
      <c r="G57" s="183">
        <f t="shared" si="9"/>
        <v>0</v>
      </c>
    </row>
    <row r="58" spans="1:16" ht="20" customHeight="1" thickBot="1">
      <c r="A58" s="180">
        <f>'BASE PAX'!A33</f>
        <v>0</v>
      </c>
      <c r="B58" s="205">
        <f>'BASE PAX'!B33</f>
        <v>0</v>
      </c>
      <c r="C58" s="178">
        <f>'BASE PAX'!C33</f>
        <v>0</v>
      </c>
      <c r="D58" s="179">
        <f t="shared" si="6"/>
        <v>0</v>
      </c>
      <c r="E58" s="184">
        <f t="shared" si="7"/>
        <v>0</v>
      </c>
      <c r="F58" s="185">
        <f t="shared" si="8"/>
        <v>0</v>
      </c>
      <c r="G58" s="186">
        <f t="shared" si="9"/>
        <v>0</v>
      </c>
    </row>
    <row r="59" spans="1:16" ht="48" customHeight="1" thickBot="1">
      <c r="A59" s="21" t="s">
        <v>79</v>
      </c>
      <c r="B59" s="77"/>
      <c r="C59" s="126"/>
      <c r="D59" s="181"/>
      <c r="E59" s="127">
        <f>SUM(E52:E58)</f>
        <v>0</v>
      </c>
      <c r="F59" s="188">
        <f>SUM(F52:F58)</f>
        <v>0</v>
      </c>
      <c r="G59" s="189">
        <f t="shared" si="9"/>
        <v>0</v>
      </c>
    </row>
    <row r="60" spans="1:16" s="8" customFormat="1" ht="11" customHeight="1" thickBot="1">
      <c r="A60" s="16"/>
      <c r="B60" s="56"/>
      <c r="C60" s="105"/>
      <c r="D60" s="102"/>
      <c r="E60" s="102"/>
      <c r="F60" s="7"/>
      <c r="G60" s="17"/>
      <c r="H60" s="7"/>
      <c r="I60" s="7"/>
      <c r="J60" s="7"/>
      <c r="K60" s="7"/>
      <c r="L60" s="7"/>
      <c r="M60" s="7"/>
      <c r="N60" s="7"/>
      <c r="O60" s="7"/>
      <c r="P60" s="7"/>
    </row>
    <row r="61" spans="1:16" s="10" customFormat="1" ht="42" customHeight="1" thickBot="1">
      <c r="A61" s="226" t="s">
        <v>18</v>
      </c>
      <c r="B61" s="227" t="s">
        <v>52</v>
      </c>
      <c r="C61" s="228" t="s">
        <v>53</v>
      </c>
      <c r="D61" s="229" t="s">
        <v>54</v>
      </c>
      <c r="E61" s="229" t="s">
        <v>55</v>
      </c>
      <c r="F61" s="228" t="s">
        <v>158</v>
      </c>
      <c r="G61" s="230" t="s">
        <v>159</v>
      </c>
    </row>
    <row r="62" spans="1:16" ht="20" customHeight="1">
      <c r="A62" s="223" t="str">
        <f>'BASE PAX'!A37</f>
        <v>HOTTUBE</v>
      </c>
      <c r="B62" s="224">
        <f>'BASE PAX'!B37</f>
        <v>0</v>
      </c>
      <c r="C62" s="195">
        <f>'BASE PAX'!C37</f>
        <v>12000</v>
      </c>
      <c r="D62" s="225">
        <f t="shared" ref="D62:D71" si="10">C62*0.2+C62</f>
        <v>14400</v>
      </c>
      <c r="E62" s="225">
        <f t="shared" ref="E62:E71" si="11">D62*B62</f>
        <v>0</v>
      </c>
      <c r="F62" s="195">
        <f t="shared" ref="F62:F72" si="12">B62*C62</f>
        <v>0</v>
      </c>
      <c r="G62" s="194">
        <f t="shared" ref="G62:G72" si="13">E62-F62</f>
        <v>0</v>
      </c>
    </row>
    <row r="63" spans="1:16" ht="20" customHeight="1">
      <c r="A63" s="219" t="str">
        <f>'BASE PAX'!A38</f>
        <v>TREKKING 1/2 DAY</v>
      </c>
      <c r="B63" s="224">
        <f>'BASE PAX'!B38</f>
        <v>0</v>
      </c>
      <c r="C63" s="196">
        <f>'BASE PAX'!C38</f>
        <v>60000</v>
      </c>
      <c r="D63" s="220">
        <f t="shared" si="10"/>
        <v>72000</v>
      </c>
      <c r="E63" s="220">
        <f t="shared" si="11"/>
        <v>0</v>
      </c>
      <c r="F63" s="196">
        <f t="shared" si="12"/>
        <v>0</v>
      </c>
      <c r="G63" s="190">
        <f t="shared" si="13"/>
        <v>0</v>
      </c>
    </row>
    <row r="64" spans="1:16" ht="20" customHeight="1">
      <c r="A64" s="219" t="str">
        <f>'BASE PAX'!A39</f>
        <v>TREKKING FUK DAY</v>
      </c>
      <c r="B64" s="224">
        <f>'BASE PAX'!B39</f>
        <v>0</v>
      </c>
      <c r="C64" s="196">
        <f>'BASE PAX'!C39</f>
        <v>90000</v>
      </c>
      <c r="D64" s="220">
        <f t="shared" si="10"/>
        <v>108000</v>
      </c>
      <c r="E64" s="220">
        <f t="shared" si="11"/>
        <v>0</v>
      </c>
      <c r="F64" s="196">
        <f t="shared" si="12"/>
        <v>0</v>
      </c>
      <c r="G64" s="190">
        <f t="shared" si="13"/>
        <v>0</v>
      </c>
    </row>
    <row r="65" spans="1:16" ht="20" customHeight="1">
      <c r="A65" s="219" t="str">
        <f>'BASE PAX'!A40</f>
        <v>FLOTADA FAMILIAR</v>
      </c>
      <c r="B65" s="224">
        <f>'BASE PAX'!B40</f>
        <v>0</v>
      </c>
      <c r="C65" s="196">
        <f>'BASE PAX'!C40</f>
        <v>60000</v>
      </c>
      <c r="D65" s="220">
        <f t="shared" si="10"/>
        <v>72000</v>
      </c>
      <c r="E65" s="220">
        <f t="shared" si="11"/>
        <v>0</v>
      </c>
      <c r="F65" s="196">
        <f t="shared" si="12"/>
        <v>0</v>
      </c>
      <c r="G65" s="190">
        <f t="shared" si="13"/>
        <v>0</v>
      </c>
    </row>
    <row r="66" spans="1:16" ht="20" customHeight="1">
      <c r="A66" s="219" t="str">
        <f>'BASE PAX'!A41</f>
        <v>RAFTING 1/2 DAY</v>
      </c>
      <c r="B66" s="224">
        <f>'BASE PAX'!B41</f>
        <v>0</v>
      </c>
      <c r="C66" s="196">
        <f>'BASE PAX'!C41</f>
        <v>75000</v>
      </c>
      <c r="D66" s="220">
        <f t="shared" si="10"/>
        <v>90000</v>
      </c>
      <c r="E66" s="220">
        <f t="shared" si="11"/>
        <v>0</v>
      </c>
      <c r="F66" s="196">
        <f t="shared" si="12"/>
        <v>0</v>
      </c>
      <c r="G66" s="190">
        <f t="shared" si="13"/>
        <v>0</v>
      </c>
    </row>
    <row r="67" spans="1:16" ht="20" customHeight="1">
      <c r="A67" s="219" t="str">
        <f>'BASE PAX'!A42</f>
        <v>RAFTING FULL DAY</v>
      </c>
      <c r="B67" s="224">
        <f>'BASE PAX'!B42</f>
        <v>0</v>
      </c>
      <c r="C67" s="196">
        <f>'BASE PAX'!C42</f>
        <v>110000</v>
      </c>
      <c r="D67" s="220">
        <f t="shared" si="10"/>
        <v>132000</v>
      </c>
      <c r="E67" s="220">
        <f t="shared" si="11"/>
        <v>0</v>
      </c>
      <c r="F67" s="196">
        <f t="shared" si="12"/>
        <v>0</v>
      </c>
      <c r="G67" s="190">
        <f t="shared" si="13"/>
        <v>0</v>
      </c>
    </row>
    <row r="68" spans="1:16" ht="20" customHeight="1">
      <c r="A68" s="219" t="str">
        <f>'BASE PAX'!A43</f>
        <v>CABALGADA 1/2 DAy</v>
      </c>
      <c r="B68" s="224">
        <f>'BASE PAX'!B43</f>
        <v>0</v>
      </c>
      <c r="C68" s="196">
        <f>'BASE PAX'!C43</f>
        <v>90000</v>
      </c>
      <c r="D68" s="220">
        <f t="shared" si="10"/>
        <v>108000</v>
      </c>
      <c r="E68" s="220">
        <f t="shared" si="11"/>
        <v>0</v>
      </c>
      <c r="F68" s="196">
        <f t="shared" si="12"/>
        <v>0</v>
      </c>
      <c r="G68" s="190">
        <f t="shared" si="13"/>
        <v>0</v>
      </c>
    </row>
    <row r="69" spans="1:16" ht="20" customHeight="1">
      <c r="A69" s="219" t="str">
        <f>'BASE PAX'!A44</f>
        <v>CABALGADA FULL DAY</v>
      </c>
      <c r="B69" s="224">
        <f>'BASE PAX'!B44</f>
        <v>0</v>
      </c>
      <c r="C69" s="196">
        <f>'BASE PAX'!C44</f>
        <v>140000</v>
      </c>
      <c r="D69" s="220">
        <f t="shared" si="10"/>
        <v>168000</v>
      </c>
      <c r="E69" s="220">
        <f t="shared" si="11"/>
        <v>0</v>
      </c>
      <c r="F69" s="196">
        <f t="shared" si="12"/>
        <v>0</v>
      </c>
      <c r="G69" s="190">
        <f t="shared" si="13"/>
        <v>0</v>
      </c>
    </row>
    <row r="70" spans="1:16" ht="20" customHeight="1">
      <c r="A70" s="219" t="str">
        <f>'BASE PAX'!A45</f>
        <v>LANCHA YELCHO</v>
      </c>
      <c r="B70" s="224">
        <f>'BASE PAX'!B45</f>
        <v>0</v>
      </c>
      <c r="C70" s="196">
        <f>'BASE PAX'!C45</f>
        <v>120000</v>
      </c>
      <c r="D70" s="220">
        <f t="shared" si="10"/>
        <v>144000</v>
      </c>
      <c r="E70" s="220">
        <f t="shared" si="11"/>
        <v>0</v>
      </c>
      <c r="F70" s="196">
        <f t="shared" si="12"/>
        <v>0</v>
      </c>
      <c r="G70" s="190">
        <f t="shared" si="13"/>
        <v>0</v>
      </c>
    </row>
    <row r="71" spans="1:16" ht="20" customHeight="1" thickBot="1">
      <c r="A71" s="221" t="str">
        <f>'BASE PAX'!A46</f>
        <v>RECREACAO INFANTIL 3HS</v>
      </c>
      <c r="B71" s="224">
        <f>'BASE PAX'!B46</f>
        <v>0</v>
      </c>
      <c r="C71" s="197">
        <f>'BASE PAX'!C46</f>
        <v>30000</v>
      </c>
      <c r="D71" s="220">
        <f t="shared" si="10"/>
        <v>36000</v>
      </c>
      <c r="E71" s="222">
        <f t="shared" si="11"/>
        <v>0</v>
      </c>
      <c r="F71" s="197">
        <f t="shared" si="12"/>
        <v>0</v>
      </c>
      <c r="G71" s="192">
        <f t="shared" si="13"/>
        <v>0</v>
      </c>
    </row>
    <row r="72" spans="1:16" ht="48" customHeight="1" thickBot="1">
      <c r="A72" s="22" t="s">
        <v>84</v>
      </c>
      <c r="B72" s="79"/>
      <c r="C72" s="128"/>
      <c r="D72" s="128"/>
      <c r="E72" s="198">
        <f>SUM(E62:E71)</f>
        <v>0</v>
      </c>
      <c r="F72" s="204">
        <f t="shared" si="12"/>
        <v>0</v>
      </c>
      <c r="G72" s="203">
        <f t="shared" si="13"/>
        <v>0</v>
      </c>
    </row>
    <row r="73" spans="1:16" ht="37" customHeight="1" thickBot="1"/>
    <row r="74" spans="1:16" s="8" customFormat="1" ht="36" customHeight="1" thickBot="1">
      <c r="A74" s="23" t="s">
        <v>116</v>
      </c>
      <c r="B74" s="214" t="s">
        <v>52</v>
      </c>
      <c r="C74" s="215" t="s">
        <v>53</v>
      </c>
      <c r="D74" s="153" t="s">
        <v>54</v>
      </c>
      <c r="E74" s="153" t="s">
        <v>55</v>
      </c>
      <c r="F74" s="143" t="s">
        <v>162</v>
      </c>
      <c r="G74" s="147" t="s">
        <v>159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 ht="20" customHeight="1">
      <c r="A75" s="88" t="str">
        <f>'BASE PAX'!A50</f>
        <v>TRANSFER AEROPORTO CHEGADA</v>
      </c>
      <c r="B75" s="211">
        <f>'BASE PAX'!B50</f>
        <v>0</v>
      </c>
      <c r="C75" s="213">
        <f>'BASE PAX'!C50</f>
        <v>80000</v>
      </c>
      <c r="D75" s="231">
        <f>C75*0.2+C75</f>
        <v>96000</v>
      </c>
      <c r="E75" s="231">
        <f>D75*B75</f>
        <v>0</v>
      </c>
      <c r="F75" s="210">
        <f>B75*C75</f>
        <v>0</v>
      </c>
      <c r="G75" s="199">
        <f t="shared" ref="G75:G80" si="14">E75-F75</f>
        <v>0</v>
      </c>
    </row>
    <row r="76" spans="1:16" ht="20" customHeight="1">
      <c r="A76" s="88" t="str">
        <f>'BASE PAX'!A51</f>
        <v>TRANSFER AEROPORTO PARTIDA</v>
      </c>
      <c r="B76" s="211">
        <f>'BASE PAX'!B51</f>
        <v>0</v>
      </c>
      <c r="C76" s="212">
        <f>'BASE PAX'!C51</f>
        <v>80000</v>
      </c>
      <c r="D76" s="232">
        <f>C76*0.2+C76</f>
        <v>96000</v>
      </c>
      <c r="E76" s="232">
        <f>D76*B76</f>
        <v>0</v>
      </c>
      <c r="F76" s="210">
        <f>B76*C76</f>
        <v>0</v>
      </c>
      <c r="G76" s="200">
        <f t="shared" si="14"/>
        <v>0</v>
      </c>
    </row>
    <row r="77" spans="1:16" ht="20" customHeight="1">
      <c r="A77" s="88" t="str">
        <f>'BASE PAX'!A52</f>
        <v>TRANSFERS INTERNO</v>
      </c>
      <c r="B77" s="211">
        <f>'BASE PAX'!B52</f>
        <v>0</v>
      </c>
      <c r="C77" s="212">
        <f>'BASE PAX'!C52</f>
        <v>18000</v>
      </c>
      <c r="D77" s="232">
        <f>C77*0.2+C77</f>
        <v>21600</v>
      </c>
      <c r="E77" s="232">
        <f>D77*B77</f>
        <v>0</v>
      </c>
      <c r="F77" s="210">
        <f>B77*C77</f>
        <v>0</v>
      </c>
      <c r="G77" s="200">
        <f t="shared" si="14"/>
        <v>0</v>
      </c>
    </row>
    <row r="78" spans="1:16" ht="20" customHeight="1">
      <c r="A78" s="88" t="str">
        <f>'BASE PAX'!A53</f>
        <v>EXTRAS 1</v>
      </c>
      <c r="B78" s="211">
        <f>'BASE PAX'!B53</f>
        <v>0</v>
      </c>
      <c r="C78" s="212">
        <f>'BASE PAX'!C53</f>
        <v>150000</v>
      </c>
      <c r="D78" s="232">
        <f>C78*0.2+C78</f>
        <v>180000</v>
      </c>
      <c r="E78" s="232">
        <f>D78*B78</f>
        <v>0</v>
      </c>
      <c r="F78" s="210">
        <f>B78*C78</f>
        <v>0</v>
      </c>
      <c r="G78" s="200">
        <f t="shared" si="14"/>
        <v>0</v>
      </c>
    </row>
    <row r="79" spans="1:16" ht="20" customHeight="1" thickBot="1">
      <c r="A79" s="218" t="str">
        <f>'BASE PAX'!A54</f>
        <v>EXTRAS 2</v>
      </c>
      <c r="B79" s="211">
        <f>'BASE PAX'!B54</f>
        <v>0</v>
      </c>
      <c r="C79" s="216">
        <f>'BASE PAX'!C54</f>
        <v>0</v>
      </c>
      <c r="D79" s="233">
        <f>C79*0.2+C79</f>
        <v>0</v>
      </c>
      <c r="E79" s="233">
        <f>D79*B79</f>
        <v>0</v>
      </c>
      <c r="F79" s="217">
        <f>B79*C79</f>
        <v>0</v>
      </c>
      <c r="G79" s="201">
        <f t="shared" si="14"/>
        <v>0</v>
      </c>
    </row>
    <row r="80" spans="1:16" ht="44" customHeight="1" thickBot="1">
      <c r="A80" s="23" t="s">
        <v>89</v>
      </c>
      <c r="B80" s="80"/>
      <c r="C80" s="130"/>
      <c r="D80" s="130"/>
      <c r="E80" s="131">
        <f>SUM(E75:E79)</f>
        <v>0</v>
      </c>
      <c r="F80" s="131">
        <f>SUM(F75:F79)</f>
        <v>0</v>
      </c>
      <c r="G80" s="203">
        <f t="shared" si="14"/>
        <v>0</v>
      </c>
    </row>
    <row r="81" spans="1:16" s="8" customFormat="1" ht="11" customHeight="1" thickBot="1">
      <c r="A81" s="16"/>
      <c r="B81" s="56"/>
      <c r="C81" s="105"/>
      <c r="D81" s="102"/>
      <c r="E81" s="102"/>
      <c r="F81" s="7"/>
      <c r="G81" s="17"/>
      <c r="H81" s="7"/>
      <c r="I81" s="7"/>
      <c r="J81" s="7"/>
      <c r="K81" s="7"/>
      <c r="L81" s="7"/>
      <c r="M81" s="7"/>
      <c r="N81" s="7"/>
      <c r="O81" s="7"/>
      <c r="P81" s="7"/>
    </row>
    <row r="82" spans="1:16" s="9" customFormat="1" ht="42" customHeight="1" thickBot="1">
      <c r="A82" s="246" t="s">
        <v>117</v>
      </c>
      <c r="B82" s="247" t="s">
        <v>52</v>
      </c>
      <c r="C82" s="248" t="s">
        <v>53</v>
      </c>
      <c r="D82" s="249" t="s">
        <v>54</v>
      </c>
      <c r="E82" s="249" t="s">
        <v>55</v>
      </c>
      <c r="F82" s="248" t="s">
        <v>162</v>
      </c>
      <c r="G82" s="147" t="s">
        <v>159</v>
      </c>
    </row>
    <row r="83" spans="1:16" ht="20" customHeight="1">
      <c r="A83" s="81" t="str">
        <f>'BASE PAX'!A58</f>
        <v>WS INSTRUCTOR</v>
      </c>
      <c r="B83" s="238">
        <f>'BASE PAX'!B58</f>
        <v>0</v>
      </c>
      <c r="C83" s="239">
        <f>'BASE PAX'!C58</f>
        <v>3415000</v>
      </c>
      <c r="D83" s="240">
        <f>(C83*0.15)+C83</f>
        <v>3927250</v>
      </c>
      <c r="E83" s="240">
        <f>D83*B83</f>
        <v>0</v>
      </c>
      <c r="F83" s="234">
        <f>B83*C83</f>
        <v>0</v>
      </c>
      <c r="G83" s="199">
        <f>E83-F83</f>
        <v>0</v>
      </c>
    </row>
    <row r="84" spans="1:16" ht="20" customHeight="1">
      <c r="A84" s="81" t="str">
        <f>'BASE PAX'!A59</f>
        <v>PRODUCER FEE</v>
      </c>
      <c r="B84" s="235">
        <f>'BASE PAX'!B59</f>
        <v>0</v>
      </c>
      <c r="C84" s="236">
        <f>'BASE PAX'!C59</f>
        <v>180000</v>
      </c>
      <c r="D84" s="237">
        <f>(C84*0.15)+C84</f>
        <v>207000</v>
      </c>
      <c r="E84" s="237">
        <f>D84*B84</f>
        <v>0</v>
      </c>
      <c r="F84" s="234">
        <f>B84*C84</f>
        <v>0</v>
      </c>
      <c r="G84" s="200">
        <f>E84-F84</f>
        <v>0</v>
      </c>
    </row>
    <row r="85" spans="1:16" ht="20" customHeight="1" thickBot="1">
      <c r="A85" s="241">
        <f>'BASE PAX'!A60</f>
        <v>0</v>
      </c>
      <c r="B85" s="242">
        <f>'BASE PAX'!B60</f>
        <v>0</v>
      </c>
      <c r="C85" s="243">
        <f>'BASE PAX'!C60</f>
        <v>20000</v>
      </c>
      <c r="D85" s="244">
        <f>(C85*0.15)+C85</f>
        <v>23000</v>
      </c>
      <c r="E85" s="244">
        <f>D85*B85</f>
        <v>0</v>
      </c>
      <c r="F85" s="245">
        <f>B85*C85</f>
        <v>0</v>
      </c>
      <c r="G85" s="201">
        <f>E85-F85</f>
        <v>0</v>
      </c>
    </row>
    <row r="86" spans="1:16" ht="41" customHeight="1" thickBot="1">
      <c r="A86" s="24" t="s">
        <v>163</v>
      </c>
      <c r="B86" s="82"/>
      <c r="C86" s="132"/>
      <c r="D86" s="132"/>
      <c r="E86" s="133">
        <f>SUM(E83:E85)</f>
        <v>0</v>
      </c>
      <c r="F86" s="133">
        <f>SUM(F81:F85)</f>
        <v>0</v>
      </c>
      <c r="G86" s="203">
        <f>E86-F86</f>
        <v>0</v>
      </c>
    </row>
    <row r="87" spans="1:16" s="8" customFormat="1" ht="11" customHeight="1" thickBot="1">
      <c r="A87" s="16"/>
      <c r="B87" s="56"/>
      <c r="C87" s="105"/>
      <c r="D87" s="102"/>
      <c r="E87" s="102"/>
      <c r="F87" s="7"/>
      <c r="G87" s="17"/>
      <c r="H87" s="7"/>
      <c r="I87" s="7"/>
      <c r="J87" s="7"/>
      <c r="K87" s="7"/>
      <c r="L87" s="7"/>
      <c r="M87" s="7"/>
      <c r="N87" s="7"/>
      <c r="O87" s="7"/>
      <c r="P87" s="7"/>
    </row>
    <row r="88" spans="1:16" ht="38" customHeight="1" thickBot="1">
      <c r="A88" s="258" t="s">
        <v>164</v>
      </c>
      <c r="B88" s="259" t="s">
        <v>92</v>
      </c>
      <c r="C88" s="250" t="s">
        <v>53</v>
      </c>
      <c r="D88" s="260" t="s">
        <v>54</v>
      </c>
      <c r="E88" s="260" t="s">
        <v>55</v>
      </c>
      <c r="F88" s="250"/>
      <c r="G88" s="147" t="s">
        <v>159</v>
      </c>
    </row>
    <row r="89" spans="1:16" ht="20" customHeight="1">
      <c r="A89" s="255" t="str">
        <f>'BASE PAX'!A64</f>
        <v>COORDENAÇÃO PRODUÇÃO</v>
      </c>
      <c r="B89" s="256">
        <f>'BASE PAX'!B64</f>
        <v>0</v>
      </c>
      <c r="C89" s="257">
        <f>'BASE PAX'!C64</f>
        <v>50000</v>
      </c>
      <c r="D89" s="257">
        <f>'BASE PAX'!D64</f>
        <v>0</v>
      </c>
      <c r="E89" s="121">
        <f>D89*B89</f>
        <v>0</v>
      </c>
      <c r="F89" s="257"/>
      <c r="G89" s="199">
        <f t="shared" ref="G89:G94" si="15">E89*0.2</f>
        <v>0</v>
      </c>
    </row>
    <row r="90" spans="1:16" ht="20" customHeight="1">
      <c r="A90" s="251" t="str">
        <f>'BASE PAX'!A65</f>
        <v>EXTRA MÃO DE OBRA</v>
      </c>
      <c r="B90" s="256">
        <f>'BASE PAX'!B65</f>
        <v>0</v>
      </c>
      <c r="C90" s="253">
        <f>'BASE PAX'!C65</f>
        <v>50000</v>
      </c>
      <c r="D90" s="253">
        <f>'BASE PAX'!D65</f>
        <v>0</v>
      </c>
      <c r="E90" s="121">
        <f t="shared" ref="E90:E94" si="16">D90*B90</f>
        <v>0</v>
      </c>
      <c r="F90" s="253"/>
      <c r="G90" s="199">
        <f t="shared" si="15"/>
        <v>0</v>
      </c>
    </row>
    <row r="91" spans="1:16" ht="20" customHeight="1">
      <c r="A91" s="251" t="str">
        <f>'BASE PAX'!A66</f>
        <v>TAXA LIMPEZA CHECK IN / CHECKOUT</v>
      </c>
      <c r="B91" s="252">
        <f>'BASE PAX'!B66</f>
        <v>0</v>
      </c>
      <c r="C91" s="253">
        <f>'BASE PAX'!C66</f>
        <v>40000</v>
      </c>
      <c r="D91" s="253">
        <f>'BASE PAX'!D66</f>
        <v>0</v>
      </c>
      <c r="E91" s="121">
        <f t="shared" si="16"/>
        <v>0</v>
      </c>
      <c r="F91" s="253"/>
      <c r="G91" s="199">
        <f t="shared" si="15"/>
        <v>0</v>
      </c>
    </row>
    <row r="92" spans="1:16" ht="20" customHeight="1">
      <c r="A92" s="251" t="str">
        <f>'BASE PAX'!A67</f>
        <v>TAXA LIMPEZA DIARIA</v>
      </c>
      <c r="B92" s="254">
        <f>'BASE PAX'!B67</f>
        <v>0</v>
      </c>
      <c r="C92" s="253">
        <f>'BASE PAX'!C67</f>
        <v>30000</v>
      </c>
      <c r="D92" s="253">
        <f>'BASE PAX'!D67</f>
        <v>0</v>
      </c>
      <c r="E92" s="121">
        <f t="shared" si="16"/>
        <v>0</v>
      </c>
      <c r="F92" s="253"/>
      <c r="G92" s="199">
        <f t="shared" si="15"/>
        <v>0</v>
      </c>
    </row>
    <row r="93" spans="1:16" ht="20" customHeight="1">
      <c r="A93" s="251" t="str">
        <f>'BASE PAX'!A68</f>
        <v>SOUVENIR</v>
      </c>
      <c r="B93" s="252">
        <f>'BASE PAX'!B68</f>
        <v>0</v>
      </c>
      <c r="C93" s="253">
        <f>'BASE PAX'!C68</f>
        <v>15000</v>
      </c>
      <c r="D93" s="253">
        <f>'BASE PAX'!D68</f>
        <v>0</v>
      </c>
      <c r="E93" s="121">
        <f t="shared" si="16"/>
        <v>0</v>
      </c>
      <c r="F93" s="253"/>
      <c r="G93" s="199">
        <f t="shared" si="15"/>
        <v>0</v>
      </c>
    </row>
    <row r="94" spans="1:16" ht="20" customHeight="1" thickBot="1">
      <c r="A94" s="251" t="str">
        <f>'BASE PAX'!A69</f>
        <v>ASSISTENTE COORDENAÇÃO</v>
      </c>
      <c r="B94" s="256">
        <f>'BASE PAX'!B69</f>
        <v>0</v>
      </c>
      <c r="C94" s="253">
        <f>'BASE PAX'!C69</f>
        <v>30000</v>
      </c>
      <c r="D94" s="253">
        <f>'BASE PAX'!D69</f>
        <v>0</v>
      </c>
      <c r="E94" s="121">
        <f t="shared" si="16"/>
        <v>0</v>
      </c>
      <c r="F94" s="253"/>
      <c r="G94" s="199">
        <f t="shared" si="15"/>
        <v>0</v>
      </c>
    </row>
    <row r="95" spans="1:16" ht="41" customHeight="1" thickBot="1">
      <c r="A95" s="25" t="s">
        <v>101</v>
      </c>
      <c r="B95" s="83"/>
      <c r="C95" s="134"/>
      <c r="D95" s="134"/>
      <c r="E95" s="135">
        <f>SUM(E89:E94)</f>
        <v>0</v>
      </c>
      <c r="F95" s="135"/>
      <c r="G95" s="203">
        <f>SUM(G89:G94)</f>
        <v>0</v>
      </c>
    </row>
    <row r="96" spans="1:16" s="8" customFormat="1" ht="11" customHeight="1" thickBot="1">
      <c r="A96" s="16"/>
      <c r="B96" s="56"/>
      <c r="C96" s="105"/>
      <c r="D96" s="102"/>
      <c r="E96" s="102"/>
      <c r="F96" s="7"/>
      <c r="G96" s="17"/>
      <c r="H96" s="7"/>
      <c r="I96" s="7"/>
      <c r="J96" s="7"/>
      <c r="K96" s="7"/>
      <c r="L96" s="7"/>
      <c r="M96" s="7"/>
      <c r="N96" s="7"/>
      <c r="O96" s="7"/>
      <c r="P96" s="7"/>
    </row>
    <row r="97" spans="1:16" ht="38" customHeight="1" thickBot="1">
      <c r="A97" s="26" t="s">
        <v>165</v>
      </c>
      <c r="B97" s="27" t="s">
        <v>92</v>
      </c>
      <c r="C97" s="136" t="s">
        <v>53</v>
      </c>
      <c r="D97" s="136" t="s">
        <v>54</v>
      </c>
      <c r="E97" s="137" t="s">
        <v>55</v>
      </c>
      <c r="F97" s="20"/>
      <c r="G97" s="20"/>
    </row>
    <row r="98" spans="1:16" ht="23" customHeight="1" thickBot="1">
      <c r="A98" s="84" t="str">
        <f>'BASE PAX'!A73</f>
        <v xml:space="preserve">QUINCHO DAY USE / CABIN </v>
      </c>
      <c r="B98" s="85">
        <f>'BASE PAX'!B73</f>
        <v>0</v>
      </c>
      <c r="C98" s="138">
        <f>'BASE PAX'!C73</f>
        <v>15000</v>
      </c>
      <c r="D98" s="138">
        <f>C98+(C98*0.2)</f>
        <v>18000</v>
      </c>
      <c r="E98" s="139">
        <f>D98*B98</f>
        <v>0</v>
      </c>
      <c r="F98" s="19"/>
      <c r="G98" s="17"/>
    </row>
    <row r="99" spans="1:16" ht="42" customHeight="1" thickBot="1">
      <c r="A99" s="26" t="s">
        <v>104</v>
      </c>
      <c r="B99" s="86"/>
      <c r="C99" s="140"/>
      <c r="D99" s="140"/>
      <c r="E99" s="141">
        <f>E98</f>
        <v>0</v>
      </c>
    </row>
    <row r="100" spans="1:16" s="6" customFormat="1" ht="20" customHeight="1">
      <c r="A100" s="28"/>
      <c r="B100" s="52"/>
      <c r="C100" s="11"/>
      <c r="D100" s="11"/>
      <c r="E100" s="11"/>
      <c r="F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9" customHeight="1"/>
  </sheetData>
  <sheetProtection sheet="1" objects="1" scenarios="1"/>
  <mergeCells count="18">
    <mergeCell ref="A11:A12"/>
    <mergeCell ref="D5:F5"/>
    <mergeCell ref="A28:D28"/>
    <mergeCell ref="B5:C5"/>
    <mergeCell ref="F20:F21"/>
    <mergeCell ref="B11:B12"/>
    <mergeCell ref="D11:D12"/>
    <mergeCell ref="B9:C9"/>
    <mergeCell ref="D9:E9"/>
    <mergeCell ref="B8:C8"/>
    <mergeCell ref="D8:E8"/>
    <mergeCell ref="D6:E6"/>
    <mergeCell ref="B6:C6"/>
    <mergeCell ref="I11:K11"/>
    <mergeCell ref="D7:E7"/>
    <mergeCell ref="B7:C7"/>
    <mergeCell ref="F11:G13"/>
    <mergeCell ref="G20:G21"/>
  </mergeCells>
  <pageMargins left="0.7" right="0.7" top="0.75" bottom="0.75" header="0.3" footer="0.3"/>
  <pageSetup paperSize="9" orientation="portrait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0"/>
  <dimension ref="A1:P101"/>
  <sheetViews>
    <sheetView topLeftCell="A2" workbookViewId="0">
      <selection activeCell="C92" sqref="C92"/>
    </sheetView>
  </sheetViews>
  <sheetFormatPr baseColWidth="10" defaultColWidth="11" defaultRowHeight="17"/>
  <cols>
    <col min="1" max="1" width="48.796875" style="7" customWidth="1"/>
    <col min="2" max="2" width="23.796875" style="52" customWidth="1"/>
    <col min="3" max="3" width="24" style="7" customWidth="1"/>
    <col min="4" max="4" width="22.796875" style="12" customWidth="1"/>
    <col min="5" max="5" width="22.19921875" style="11" customWidth="1"/>
    <col min="6" max="6" width="32.796875" style="7" customWidth="1"/>
    <col min="7" max="7" width="27.796875" style="6" customWidth="1"/>
    <col min="8" max="8" width="32.3984375" style="7" customWidth="1"/>
    <col min="9" max="9" width="23.59765625" style="7" customWidth="1"/>
    <col min="10" max="10" width="25.19921875" style="7" customWidth="1"/>
    <col min="11" max="11" width="28.796875" style="7" customWidth="1"/>
    <col min="12" max="12" width="36.19921875" style="7" customWidth="1"/>
    <col min="13" max="28" width="11" style="7" customWidth="1"/>
    <col min="29" max="16384" width="11" style="7"/>
  </cols>
  <sheetData>
    <row r="1" spans="1:16" ht="22" hidden="1" customHeight="1" thickBot="1"/>
    <row r="2" spans="1:16" ht="7" customHeight="1">
      <c r="D2" s="13"/>
    </row>
    <row r="3" spans="1:16" s="10" customFormat="1" ht="1" customHeight="1">
      <c r="A3" s="14"/>
      <c r="B3" s="53"/>
      <c r="C3" s="15" t="s">
        <v>11</v>
      </c>
      <c r="D3" s="15"/>
      <c r="E3" s="15"/>
      <c r="G3" s="9"/>
    </row>
    <row r="4" spans="1:16" s="10" customFormat="1" ht="19" customHeight="1">
      <c r="A4" s="14"/>
      <c r="B4" s="53"/>
      <c r="C4" s="15"/>
      <c r="D4" s="15"/>
      <c r="E4" s="15"/>
      <c r="G4" s="9"/>
    </row>
    <row r="5" spans="1:16" s="10" customFormat="1" ht="50" customHeight="1">
      <c r="A5" s="54" t="s">
        <v>129</v>
      </c>
      <c r="B5" s="674">
        <v>5</v>
      </c>
      <c r="C5" s="675"/>
      <c r="D5" s="739" t="s">
        <v>14</v>
      </c>
      <c r="E5" s="675"/>
      <c r="F5" s="675"/>
      <c r="G5" s="9"/>
    </row>
    <row r="6" spans="1:16" s="8" customFormat="1" ht="37" customHeight="1">
      <c r="A6" s="54" t="s">
        <v>130</v>
      </c>
      <c r="B6" s="683">
        <v>0</v>
      </c>
      <c r="C6" s="684"/>
      <c r="D6" s="682" t="s">
        <v>131</v>
      </c>
      <c r="E6" s="661"/>
      <c r="F6" s="106">
        <f>D21</f>
        <v>0</v>
      </c>
      <c r="G6" s="9"/>
      <c r="H6" s="10"/>
    </row>
    <row r="7" spans="1:16" s="8" customFormat="1" ht="33" customHeight="1">
      <c r="A7" s="55" t="s">
        <v>132</v>
      </c>
      <c r="B7" s="662">
        <f>CALENDAR!C2</f>
        <v>0</v>
      </c>
      <c r="C7" s="661"/>
      <c r="D7" s="660" t="s">
        <v>133</v>
      </c>
      <c r="E7" s="661"/>
      <c r="F7" s="107">
        <f>SUM(F12:F20)</f>
        <v>0</v>
      </c>
      <c r="G7" s="9"/>
      <c r="H7" s="10"/>
    </row>
    <row r="8" spans="1:16" s="8" customFormat="1" ht="31" customHeight="1">
      <c r="A8" s="54" t="s">
        <v>134</v>
      </c>
      <c r="B8" s="680">
        <f>CALENDAR!C3</f>
        <v>0</v>
      </c>
      <c r="C8" s="661"/>
      <c r="D8" s="681" t="s">
        <v>135</v>
      </c>
      <c r="E8" s="661"/>
      <c r="F8" s="108">
        <f>F6-F7</f>
        <v>0</v>
      </c>
      <c r="G8" s="9"/>
      <c r="H8" s="10"/>
    </row>
    <row r="9" spans="1:16" s="8" customFormat="1" ht="32" customHeight="1">
      <c r="A9" s="55" t="s">
        <v>136</v>
      </c>
      <c r="B9" s="678">
        <f>CALENDAR!J2</f>
        <v>0</v>
      </c>
      <c r="C9" s="661"/>
      <c r="D9" s="679" t="s">
        <v>137</v>
      </c>
      <c r="E9" s="661"/>
      <c r="F9" s="1"/>
      <c r="G9" s="9"/>
      <c r="H9" s="10"/>
    </row>
    <row r="10" spans="1:16" s="8" customFormat="1" ht="30" customHeight="1" thickBot="1">
      <c r="A10" s="16"/>
      <c r="B10" s="56"/>
      <c r="C10" s="6"/>
      <c r="D10" s="7"/>
      <c r="E10" s="7"/>
      <c r="F10" s="7"/>
      <c r="G10" s="17"/>
      <c r="H10" s="7"/>
      <c r="I10" s="7"/>
      <c r="J10" s="7"/>
      <c r="K10" s="7"/>
      <c r="L10" s="7"/>
      <c r="M10" s="7"/>
      <c r="N10" s="7"/>
      <c r="O10" s="7"/>
      <c r="P10" s="7"/>
    </row>
    <row r="11" spans="1:16" s="6" customFormat="1" ht="44" customHeight="1" thickBot="1">
      <c r="A11" s="671" t="s">
        <v>138</v>
      </c>
      <c r="B11" s="677" t="s">
        <v>139</v>
      </c>
      <c r="C11" s="57" t="s">
        <v>140</v>
      </c>
      <c r="D11" s="677" t="s">
        <v>141</v>
      </c>
      <c r="E11" s="7"/>
      <c r="F11" s="738" t="str">
        <f>D5</f>
        <v>CORCOVADO</v>
      </c>
      <c r="G11" s="664"/>
      <c r="H11" s="7"/>
      <c r="I11" s="658" t="s">
        <v>142</v>
      </c>
      <c r="J11" s="659"/>
      <c r="K11" s="659"/>
      <c r="L11" s="7"/>
      <c r="M11" s="7"/>
      <c r="N11" s="7"/>
      <c r="O11" s="7"/>
      <c r="P11" s="7"/>
    </row>
    <row r="12" spans="1:16" s="6" customFormat="1" ht="32" customHeight="1">
      <c r="A12" s="659"/>
      <c r="B12" s="659"/>
      <c r="C12" s="58">
        <v>0.05</v>
      </c>
      <c r="D12" s="659"/>
      <c r="E12" s="7"/>
      <c r="F12" s="665"/>
      <c r="G12" s="666"/>
      <c r="H12" s="7"/>
      <c r="I12" s="59" t="s">
        <v>126</v>
      </c>
      <c r="J12" s="60" t="s">
        <v>143</v>
      </c>
      <c r="K12" s="60" t="s">
        <v>144</v>
      </c>
      <c r="L12" s="7"/>
      <c r="M12" s="7"/>
      <c r="N12" s="7"/>
      <c r="O12" s="7"/>
      <c r="P12" s="7"/>
    </row>
    <row r="13" spans="1:16" ht="22" customHeight="1" thickBot="1">
      <c r="A13" s="61" t="s">
        <v>15</v>
      </c>
      <c r="B13" s="109">
        <f>G28</f>
        <v>0</v>
      </c>
      <c r="C13" s="109">
        <f t="shared" ref="C13:C20" si="0">B13*$C$12</f>
        <v>0</v>
      </c>
      <c r="D13" s="109">
        <f t="shared" ref="D13:D20" si="1">B13+(B13*$C$12)</f>
        <v>0</v>
      </c>
      <c r="E13" s="7"/>
      <c r="F13" s="667"/>
      <c r="G13" s="668"/>
      <c r="I13" s="3"/>
      <c r="J13" s="4"/>
      <c r="K13" s="5"/>
    </row>
    <row r="14" spans="1:16" s="6" customFormat="1" ht="20" customHeight="1">
      <c r="A14" s="62" t="s">
        <v>16</v>
      </c>
      <c r="B14" s="110">
        <f>J49</f>
        <v>0</v>
      </c>
      <c r="C14" s="110">
        <f t="shared" si="0"/>
        <v>0</v>
      </c>
      <c r="D14" s="110">
        <f t="shared" si="1"/>
        <v>0</v>
      </c>
      <c r="E14" s="7"/>
      <c r="F14" s="271" t="str">
        <f t="shared" ref="F14:F19" si="2">A14</f>
        <v>2.FOOD</v>
      </c>
      <c r="G14" s="261">
        <f>G49</f>
        <v>0</v>
      </c>
      <c r="H14" s="7"/>
      <c r="I14" s="3"/>
      <c r="J14" s="4"/>
      <c r="K14" s="5"/>
      <c r="L14" s="7"/>
      <c r="M14" s="7"/>
      <c r="N14" s="7"/>
      <c r="O14" s="7"/>
      <c r="P14" s="7"/>
    </row>
    <row r="15" spans="1:16" s="6" customFormat="1" ht="20" customHeight="1">
      <c r="A15" s="63" t="s">
        <v>17</v>
      </c>
      <c r="B15" s="111">
        <f>E59</f>
        <v>0</v>
      </c>
      <c r="C15" s="111">
        <f t="shared" si="0"/>
        <v>0</v>
      </c>
      <c r="D15" s="111">
        <f t="shared" si="1"/>
        <v>0</v>
      </c>
      <c r="E15" s="7"/>
      <c r="F15" s="272" t="str">
        <f t="shared" si="2"/>
        <v>3.DRINKS</v>
      </c>
      <c r="G15" s="262">
        <f>G59</f>
        <v>0</v>
      </c>
      <c r="H15" s="7"/>
      <c r="I15" s="3"/>
      <c r="J15" s="4"/>
      <c r="K15" s="5"/>
      <c r="L15" s="7"/>
      <c r="M15" s="7"/>
      <c r="N15" s="7"/>
      <c r="O15" s="7"/>
      <c r="P15" s="7"/>
    </row>
    <row r="16" spans="1:16" s="6" customFormat="1" ht="20" customHeight="1">
      <c r="A16" s="55" t="s">
        <v>18</v>
      </c>
      <c r="B16" s="112">
        <f>$E$72</f>
        <v>0</v>
      </c>
      <c r="C16" s="112">
        <f t="shared" si="0"/>
        <v>0</v>
      </c>
      <c r="D16" s="112">
        <f t="shared" si="1"/>
        <v>0</v>
      </c>
      <c r="E16" s="7"/>
      <c r="F16" s="273" t="str">
        <f t="shared" si="2"/>
        <v>4. ACTIVITIES</v>
      </c>
      <c r="G16" s="263">
        <f>G72</f>
        <v>0</v>
      </c>
      <c r="H16" s="7"/>
      <c r="I16" s="3"/>
      <c r="J16" s="4"/>
      <c r="K16" s="5"/>
      <c r="L16" s="7"/>
      <c r="M16" s="7"/>
      <c r="N16" s="7"/>
      <c r="O16" s="7"/>
      <c r="P16" s="7"/>
    </row>
    <row r="17" spans="1:16" s="6" customFormat="1" ht="20" customHeight="1">
      <c r="A17" s="63" t="s">
        <v>19</v>
      </c>
      <c r="B17" s="111">
        <f>$E$80</f>
        <v>0</v>
      </c>
      <c r="C17" s="111">
        <f t="shared" si="0"/>
        <v>0</v>
      </c>
      <c r="D17" s="111">
        <f t="shared" si="1"/>
        <v>0</v>
      </c>
      <c r="E17" s="7"/>
      <c r="F17" s="274" t="str">
        <f t="shared" si="2"/>
        <v>5.TRANSPORT</v>
      </c>
      <c r="G17" s="174">
        <f>G80</f>
        <v>0</v>
      </c>
      <c r="H17" s="7"/>
      <c r="I17" s="3"/>
      <c r="J17" s="4"/>
      <c r="K17" s="5"/>
      <c r="L17" s="7"/>
      <c r="M17" s="7"/>
      <c r="N17" s="7"/>
      <c r="O17" s="7"/>
      <c r="P17" s="7"/>
    </row>
    <row r="18" spans="1:16" s="6" customFormat="1" ht="20" customHeight="1">
      <c r="A18" s="64" t="s">
        <v>20</v>
      </c>
      <c r="B18" s="113">
        <f>$E$86</f>
        <v>0</v>
      </c>
      <c r="C18" s="113">
        <f t="shared" si="0"/>
        <v>0</v>
      </c>
      <c r="D18" s="113">
        <f t="shared" si="1"/>
        <v>0</v>
      </c>
      <c r="E18" s="10"/>
      <c r="F18" s="275" t="str">
        <f t="shared" si="2"/>
        <v>6.EXPERIENCES</v>
      </c>
      <c r="G18" s="264">
        <f>G86</f>
        <v>0</v>
      </c>
      <c r="H18" s="7"/>
      <c r="I18" s="3"/>
      <c r="J18" s="4"/>
      <c r="K18" s="5"/>
      <c r="L18" s="7"/>
      <c r="M18" s="7"/>
      <c r="N18" s="7"/>
      <c r="O18" s="7"/>
      <c r="P18" s="7"/>
    </row>
    <row r="19" spans="1:16" s="6" customFormat="1" ht="20" customHeight="1">
      <c r="A19" s="65" t="s">
        <v>21</v>
      </c>
      <c r="B19" s="114">
        <f>$E$95</f>
        <v>0</v>
      </c>
      <c r="C19" s="114">
        <f t="shared" si="0"/>
        <v>0</v>
      </c>
      <c r="D19" s="114">
        <f t="shared" si="1"/>
        <v>0</v>
      </c>
      <c r="E19" s="7"/>
      <c r="F19" s="276" t="str">
        <f t="shared" si="2"/>
        <v>7.EXTRAS</v>
      </c>
      <c r="G19" s="151">
        <f>G95</f>
        <v>0</v>
      </c>
      <c r="H19" s="7"/>
      <c r="I19" s="3"/>
      <c r="J19" s="4"/>
      <c r="K19" s="5"/>
      <c r="L19" s="7"/>
      <c r="M19" s="7"/>
      <c r="N19" s="7"/>
      <c r="O19" s="7"/>
      <c r="P19" s="7"/>
    </row>
    <row r="20" spans="1:16" s="6" customFormat="1" ht="20" customHeight="1" thickBot="1">
      <c r="A20" s="66" t="s">
        <v>22</v>
      </c>
      <c r="B20" s="115">
        <f>$E$99</f>
        <v>0</v>
      </c>
      <c r="C20" s="115">
        <f t="shared" si="0"/>
        <v>0</v>
      </c>
      <c r="D20" s="115">
        <f t="shared" si="1"/>
        <v>0</v>
      </c>
      <c r="E20" s="7"/>
      <c r="F20" s="676" t="s">
        <v>145</v>
      </c>
      <c r="G20" s="669">
        <f>G14+G15+G16+G17+G18+G19</f>
        <v>0</v>
      </c>
      <c r="H20" s="7"/>
      <c r="I20" s="3"/>
      <c r="J20" s="4"/>
      <c r="K20" s="5"/>
      <c r="L20" s="7"/>
      <c r="M20" s="7"/>
      <c r="N20" s="7"/>
      <c r="O20" s="7"/>
      <c r="P20" s="7"/>
    </row>
    <row r="21" spans="1:16" ht="35" customHeight="1" thickBot="1">
      <c r="A21" s="67" t="s">
        <v>146</v>
      </c>
      <c r="B21" s="116">
        <f>SUM(B13:B20)</f>
        <v>0</v>
      </c>
      <c r="C21" s="116"/>
      <c r="D21" s="116">
        <f>SUM(D13:D20)</f>
        <v>0</v>
      </c>
      <c r="E21" s="51"/>
      <c r="F21" s="670"/>
      <c r="G21" s="670"/>
    </row>
    <row r="22" spans="1:16" s="8" customFormat="1" ht="11" customHeight="1" thickBot="1">
      <c r="A22" s="16"/>
      <c r="B22" s="56"/>
      <c r="C22" s="6"/>
      <c r="D22" s="7"/>
      <c r="E22" s="7"/>
      <c r="F22" s="7"/>
      <c r="G22" s="17"/>
      <c r="H22" s="7"/>
      <c r="I22" s="7"/>
      <c r="J22" s="7"/>
      <c r="K22" s="7"/>
      <c r="L22" s="7"/>
      <c r="M22" s="7"/>
      <c r="N22" s="7"/>
      <c r="O22" s="7"/>
      <c r="P22" s="7"/>
    </row>
    <row r="23" spans="1:16" ht="44" customHeight="1" thickBot="1">
      <c r="A23" s="68" t="s">
        <v>114</v>
      </c>
      <c r="B23" s="69" t="s">
        <v>52</v>
      </c>
      <c r="C23" s="69" t="s">
        <v>147</v>
      </c>
      <c r="D23" s="69" t="s">
        <v>148</v>
      </c>
      <c r="E23" s="70" t="s">
        <v>149</v>
      </c>
      <c r="F23" s="70" t="s">
        <v>150</v>
      </c>
      <c r="G23" s="70" t="s">
        <v>151</v>
      </c>
    </row>
    <row r="24" spans="1:16" ht="20" customHeight="1">
      <c r="A24" s="71" t="s">
        <v>174</v>
      </c>
      <c r="B24" s="93">
        <v>1</v>
      </c>
      <c r="C24" s="117">
        <f>398381.8</f>
        <v>398381.8</v>
      </c>
      <c r="D24" s="118"/>
      <c r="E24" s="119">
        <f>(C24+D24)*$B$9*B24</f>
        <v>0</v>
      </c>
      <c r="F24" s="2">
        <v>0</v>
      </c>
      <c r="G24" s="119">
        <f>E24-(E24*F24)</f>
        <v>0</v>
      </c>
    </row>
    <row r="25" spans="1:16" ht="20" customHeight="1">
      <c r="A25" s="71" t="s">
        <v>175</v>
      </c>
      <c r="B25" s="93">
        <v>0</v>
      </c>
      <c r="C25" s="117">
        <f>398381.8</f>
        <v>398381.8</v>
      </c>
      <c r="D25" s="118">
        <v>50000</v>
      </c>
      <c r="E25" s="119">
        <f>(C25+D25)*$B$9*B25</f>
        <v>0</v>
      </c>
      <c r="F25" s="2">
        <v>0</v>
      </c>
      <c r="G25" s="119">
        <f>E25-(E25*F25)</f>
        <v>0</v>
      </c>
    </row>
    <row r="26" spans="1:16" ht="20" customHeight="1">
      <c r="A26" s="71" t="s">
        <v>176</v>
      </c>
      <c r="B26" s="93">
        <v>0</v>
      </c>
      <c r="C26" s="117">
        <f>358543.62</f>
        <v>358543.62</v>
      </c>
      <c r="D26" s="118"/>
      <c r="E26" s="119">
        <f>(C26+D26)*$B$9*B26</f>
        <v>0</v>
      </c>
      <c r="F26" s="2">
        <v>0</v>
      </c>
      <c r="G26" s="119">
        <f>E26-(E26*F26)</f>
        <v>0</v>
      </c>
    </row>
    <row r="27" spans="1:16" ht="20" customHeight="1" thickBot="1">
      <c r="A27" s="71" t="s">
        <v>177</v>
      </c>
      <c r="B27" s="93">
        <v>0</v>
      </c>
      <c r="C27" s="117">
        <f>358543.62</f>
        <v>358543.62</v>
      </c>
      <c r="D27" s="118">
        <v>50000</v>
      </c>
      <c r="E27" s="119">
        <f>(C27+D27)*$B$9*B27</f>
        <v>0</v>
      </c>
      <c r="F27" s="2">
        <v>0</v>
      </c>
      <c r="G27" s="119">
        <f>E27-(E27*F27)</f>
        <v>0</v>
      </c>
    </row>
    <row r="28" spans="1:16" ht="29" customHeight="1" thickBot="1">
      <c r="A28" s="672" t="s">
        <v>156</v>
      </c>
      <c r="B28" s="673"/>
      <c r="C28" s="673"/>
      <c r="D28" s="673"/>
      <c r="E28" s="72"/>
      <c r="F28" s="73"/>
      <c r="G28" s="120">
        <f>SUM(G24:G27)</f>
        <v>0</v>
      </c>
    </row>
    <row r="29" spans="1:16" s="8" customFormat="1" ht="11" customHeight="1" thickBot="1">
      <c r="A29" s="16"/>
      <c r="B29" s="56"/>
      <c r="C29" s="6"/>
      <c r="D29" s="7"/>
      <c r="E29" s="7"/>
      <c r="F29" s="7"/>
      <c r="G29" s="17"/>
      <c r="H29" s="7"/>
      <c r="I29" s="286"/>
      <c r="J29" s="7"/>
      <c r="K29" s="7"/>
      <c r="L29" s="7"/>
      <c r="M29" s="7"/>
      <c r="N29" s="7"/>
      <c r="O29" s="7"/>
      <c r="P29" s="7"/>
    </row>
    <row r="30" spans="1:16" s="10" customFormat="1" ht="40" customHeight="1" thickBot="1">
      <c r="A30" s="18" t="s">
        <v>51</v>
      </c>
      <c r="B30" s="159" t="s">
        <v>52</v>
      </c>
      <c r="C30" s="160" t="s">
        <v>53</v>
      </c>
      <c r="D30" s="153" t="s">
        <v>54</v>
      </c>
      <c r="E30" s="149" t="s">
        <v>157</v>
      </c>
      <c r="F30" s="103" t="s">
        <v>158</v>
      </c>
      <c r="G30" s="147" t="s">
        <v>159</v>
      </c>
      <c r="I30" s="286"/>
    </row>
    <row r="31" spans="1:16" ht="20" customHeight="1" thickBot="1">
      <c r="A31" s="154" t="str">
        <f>'BASE PAX'!A6</f>
        <v>BREAKFAST</v>
      </c>
      <c r="B31" s="285">
        <f>(B5*B9*'BASE PAX'!G6)+('BASE PAX'!H6*B6*B9)</f>
        <v>0</v>
      </c>
      <c r="C31" s="121"/>
      <c r="D31" s="144"/>
      <c r="E31" s="283">
        <v>0</v>
      </c>
      <c r="F31" s="122">
        <f t="shared" ref="F31:F46" si="3">B31*C31</f>
        <v>0</v>
      </c>
      <c r="G31" s="325">
        <f>0.2*B31</f>
        <v>0</v>
      </c>
      <c r="H31" s="351" t="str">
        <f>A31</f>
        <v>BREAKFAST</v>
      </c>
      <c r="I31" s="353">
        <f>B31</f>
        <v>0</v>
      </c>
    </row>
    <row r="32" spans="1:16" ht="20" customHeight="1">
      <c r="A32" s="155" t="str">
        <f>'BASE PAX'!A7</f>
        <v>LUNCH 1</v>
      </c>
      <c r="B32" s="74">
        <f>($B$5+$B$6)*'BASE PAX'!B7</f>
        <v>0</v>
      </c>
      <c r="C32" s="123">
        <f>'BASE PAX'!C7</f>
        <v>40000</v>
      </c>
      <c r="D32" s="125">
        <f>'BASE PAX'!D7</f>
        <v>48000</v>
      </c>
      <c r="E32" s="151">
        <f t="shared" ref="E32:E46" si="4">D32*B32</f>
        <v>0</v>
      </c>
      <c r="F32" s="124">
        <f t="shared" si="3"/>
        <v>0</v>
      </c>
      <c r="G32" s="146">
        <f t="shared" ref="G32:G46" si="5">E32-F32</f>
        <v>0</v>
      </c>
      <c r="I32" s="290"/>
    </row>
    <row r="33" spans="1:11" ht="20" customHeight="1">
      <c r="A33" s="155" t="str">
        <f>'BASE PAX'!A8</f>
        <v>LUNCH 2</v>
      </c>
      <c r="B33" s="74">
        <f>($B$5+$B$6)*'BASE PAX'!B8</f>
        <v>0</v>
      </c>
      <c r="C33" s="123">
        <f>'BASE PAX'!C8</f>
        <v>40000</v>
      </c>
      <c r="D33" s="125">
        <f>'BASE PAX'!D8</f>
        <v>48000</v>
      </c>
      <c r="E33" s="151">
        <f t="shared" si="4"/>
        <v>0</v>
      </c>
      <c r="F33" s="124">
        <f t="shared" si="3"/>
        <v>0</v>
      </c>
      <c r="G33" s="146">
        <f t="shared" si="5"/>
        <v>0</v>
      </c>
      <c r="I33" s="290"/>
    </row>
    <row r="34" spans="1:11" ht="20" customHeight="1">
      <c r="A34" s="155" t="str">
        <f>'BASE PAX'!A9</f>
        <v>LUNCH 3</v>
      </c>
      <c r="B34" s="74">
        <f>($B$5+$B$6)*'BASE PAX'!B9</f>
        <v>0</v>
      </c>
      <c r="C34" s="123">
        <f>'BASE PAX'!C9</f>
        <v>40000</v>
      </c>
      <c r="D34" s="125">
        <f>'BASE PAX'!D9</f>
        <v>48000</v>
      </c>
      <c r="E34" s="151">
        <f t="shared" si="4"/>
        <v>0</v>
      </c>
      <c r="F34" s="124">
        <f t="shared" si="3"/>
        <v>0</v>
      </c>
      <c r="G34" s="146">
        <f t="shared" si="5"/>
        <v>0</v>
      </c>
      <c r="I34" s="290"/>
    </row>
    <row r="35" spans="1:11" ht="20" customHeight="1">
      <c r="A35" s="155" t="str">
        <f>'BASE PAX'!A10</f>
        <v>LUNCH 4</v>
      </c>
      <c r="B35" s="74">
        <f>($B$5+$B$6)*'BASE PAX'!B10</f>
        <v>0</v>
      </c>
      <c r="C35" s="123">
        <f>'BASE PAX'!C10</f>
        <v>45000</v>
      </c>
      <c r="D35" s="125">
        <f>'BASE PAX'!D10</f>
        <v>54000</v>
      </c>
      <c r="E35" s="151">
        <f t="shared" si="4"/>
        <v>0</v>
      </c>
      <c r="F35" s="124">
        <f t="shared" si="3"/>
        <v>0</v>
      </c>
      <c r="G35" s="146">
        <f t="shared" si="5"/>
        <v>0</v>
      </c>
      <c r="I35" s="290"/>
    </row>
    <row r="36" spans="1:11" ht="20" customHeight="1">
      <c r="A36" s="155" t="str">
        <f>'BASE PAX'!A11</f>
        <v>LUNCH 5</v>
      </c>
      <c r="B36" s="74">
        <f>($B$5+$B$6)*'BASE PAX'!B11</f>
        <v>0</v>
      </c>
      <c r="C36" s="123">
        <f>'BASE PAX'!C11</f>
        <v>50000</v>
      </c>
      <c r="D36" s="125">
        <f>'BASE PAX'!D11</f>
        <v>60000</v>
      </c>
      <c r="E36" s="151">
        <f t="shared" si="4"/>
        <v>0</v>
      </c>
      <c r="F36" s="124">
        <f t="shared" si="3"/>
        <v>0</v>
      </c>
      <c r="G36" s="146">
        <f t="shared" si="5"/>
        <v>0</v>
      </c>
      <c r="I36" s="290"/>
    </row>
    <row r="37" spans="1:11" ht="20" customHeight="1">
      <c r="A37" s="155" t="str">
        <f>'BASE PAX'!A12</f>
        <v>LUNCH 6</v>
      </c>
      <c r="B37" s="74">
        <f>($B$5+$B$6)*'BASE PAX'!B12</f>
        <v>0</v>
      </c>
      <c r="C37" s="123">
        <f>'BASE PAX'!C12</f>
        <v>0</v>
      </c>
      <c r="D37" s="125">
        <f>'BASE PAX'!D12</f>
        <v>0</v>
      </c>
      <c r="E37" s="151">
        <f t="shared" si="4"/>
        <v>0</v>
      </c>
      <c r="F37" s="124">
        <f t="shared" si="3"/>
        <v>0</v>
      </c>
      <c r="G37" s="146">
        <f t="shared" si="5"/>
        <v>0</v>
      </c>
      <c r="I37" s="290"/>
    </row>
    <row r="38" spans="1:11" ht="20" customHeight="1">
      <c r="A38" s="155" t="str">
        <f>'BASE PAX'!A13</f>
        <v>LUNCH 7</v>
      </c>
      <c r="B38" s="74">
        <f>($B$5+$B$6)*'BASE PAX'!B13</f>
        <v>0</v>
      </c>
      <c r="C38" s="123">
        <f>'BASE PAX'!C13</f>
        <v>5000</v>
      </c>
      <c r="D38" s="125">
        <f>'BASE PAX'!D13</f>
        <v>6000</v>
      </c>
      <c r="E38" s="151">
        <f t="shared" si="4"/>
        <v>0</v>
      </c>
      <c r="F38" s="124">
        <f t="shared" si="3"/>
        <v>0</v>
      </c>
      <c r="G38" s="146">
        <f t="shared" si="5"/>
        <v>0</v>
      </c>
      <c r="I38" s="290"/>
    </row>
    <row r="39" spans="1:11" ht="20" customHeight="1">
      <c r="A39" s="156" t="str">
        <f>'BASE PAX'!A14</f>
        <v>SNACKS</v>
      </c>
      <c r="B39" s="75">
        <f>($B$5+$B$6)*'BASE PAX'!B14</f>
        <v>0</v>
      </c>
      <c r="C39" s="125">
        <f>'BASE PAX'!C14</f>
        <v>8000</v>
      </c>
      <c r="D39" s="145">
        <f>'BASE PAX'!D14</f>
        <v>9600</v>
      </c>
      <c r="E39" s="150">
        <f t="shared" si="4"/>
        <v>0</v>
      </c>
      <c r="F39" s="122">
        <f t="shared" si="3"/>
        <v>0</v>
      </c>
      <c r="G39" s="146">
        <f t="shared" si="5"/>
        <v>0</v>
      </c>
      <c r="I39" s="290"/>
    </row>
    <row r="40" spans="1:11" ht="20" customHeight="1">
      <c r="A40" s="155" t="str">
        <f>'BASE PAX'!A15</f>
        <v>DINNER 1</v>
      </c>
      <c r="B40" s="74">
        <f>($B$5+$B$6)*'BASE PAX'!B15</f>
        <v>0</v>
      </c>
      <c r="C40" s="123">
        <f>'BASE PAX'!C15</f>
        <v>70000</v>
      </c>
      <c r="D40" s="125">
        <f>'BASE PAX'!D15</f>
        <v>84000</v>
      </c>
      <c r="E40" s="151">
        <f t="shared" si="4"/>
        <v>0</v>
      </c>
      <c r="F40" s="124">
        <f t="shared" si="3"/>
        <v>0</v>
      </c>
      <c r="G40" s="146">
        <f t="shared" si="5"/>
        <v>0</v>
      </c>
      <c r="H40" s="287"/>
      <c r="I40" s="291"/>
    </row>
    <row r="41" spans="1:11" ht="20" customHeight="1">
      <c r="A41" s="155" t="str">
        <f>'BASE PAX'!A16</f>
        <v>DINNER 2</v>
      </c>
      <c r="B41" s="74">
        <f>($B$5+$B$6)*'BASE PAX'!B16</f>
        <v>0</v>
      </c>
      <c r="C41" s="123">
        <f>'BASE PAX'!C16</f>
        <v>25000</v>
      </c>
      <c r="D41" s="125">
        <f>'BASE PAX'!D16</f>
        <v>30000</v>
      </c>
      <c r="E41" s="151">
        <f t="shared" si="4"/>
        <v>0</v>
      </c>
      <c r="F41" s="124">
        <f t="shared" si="3"/>
        <v>0</v>
      </c>
      <c r="G41" s="146">
        <f t="shared" si="5"/>
        <v>0</v>
      </c>
      <c r="I41" s="290"/>
    </row>
    <row r="42" spans="1:11" ht="20" customHeight="1">
      <c r="A42" s="155" t="str">
        <f>'BASE PAX'!A17</f>
        <v>DINNER 3</v>
      </c>
      <c r="B42" s="74">
        <f>($B$5+$B$6)*'BASE PAX'!B17</f>
        <v>0</v>
      </c>
      <c r="C42" s="123">
        <f>'BASE PAX'!C17</f>
        <v>50000</v>
      </c>
      <c r="D42" s="125">
        <f>'BASE PAX'!D17</f>
        <v>60000</v>
      </c>
      <c r="E42" s="151">
        <f t="shared" si="4"/>
        <v>0</v>
      </c>
      <c r="F42" s="124">
        <f t="shared" si="3"/>
        <v>0</v>
      </c>
      <c r="G42" s="146">
        <f t="shared" si="5"/>
        <v>0</v>
      </c>
      <c r="I42" s="290"/>
    </row>
    <row r="43" spans="1:11" ht="20" customHeight="1">
      <c r="A43" s="155" t="str">
        <f>'BASE PAX'!A18</f>
        <v>DINNER 4</v>
      </c>
      <c r="B43" s="74">
        <f>($B$5+$B$6)*'BASE PAX'!B18</f>
        <v>0</v>
      </c>
      <c r="C43" s="123">
        <f>'BASE PAX'!C18</f>
        <v>65000</v>
      </c>
      <c r="D43" s="125">
        <f>'BASE PAX'!D18</f>
        <v>78000</v>
      </c>
      <c r="E43" s="151">
        <f t="shared" si="4"/>
        <v>0</v>
      </c>
      <c r="F43" s="124">
        <f t="shared" si="3"/>
        <v>0</v>
      </c>
      <c r="G43" s="146">
        <f t="shared" si="5"/>
        <v>0</v>
      </c>
      <c r="I43" s="9"/>
    </row>
    <row r="44" spans="1:11" ht="20" customHeight="1">
      <c r="A44" s="155" t="str">
        <f>'BASE PAX'!A19</f>
        <v>DINNER 5</v>
      </c>
      <c r="B44" s="74">
        <f>($B$5+$B$6)*'BASE PAX'!B19</f>
        <v>0</v>
      </c>
      <c r="C44" s="123">
        <f>'BASE PAX'!C19</f>
        <v>75000</v>
      </c>
      <c r="D44" s="125">
        <f>'BASE PAX'!D19</f>
        <v>90000</v>
      </c>
      <c r="E44" s="151">
        <f t="shared" si="4"/>
        <v>0</v>
      </c>
      <c r="F44" s="124">
        <f t="shared" si="3"/>
        <v>0</v>
      </c>
      <c r="G44" s="146">
        <f t="shared" si="5"/>
        <v>0</v>
      </c>
      <c r="I44" s="9"/>
    </row>
    <row r="45" spans="1:11" ht="20" customHeight="1">
      <c r="A45" s="155" t="str">
        <f>'BASE PAX'!A20</f>
        <v>DINNER 6</v>
      </c>
      <c r="B45" s="74">
        <f>($B$5+$B$6)*'BASE PAX'!B20</f>
        <v>0</v>
      </c>
      <c r="C45" s="123">
        <f>'BASE PAX'!C20</f>
        <v>0</v>
      </c>
      <c r="D45" s="125">
        <f>'BASE PAX'!D20</f>
        <v>0</v>
      </c>
      <c r="E45" s="151">
        <f t="shared" si="4"/>
        <v>0</v>
      </c>
      <c r="F45" s="124">
        <f t="shared" si="3"/>
        <v>0</v>
      </c>
      <c r="G45" s="146">
        <f t="shared" si="5"/>
        <v>0</v>
      </c>
      <c r="I45" s="9"/>
    </row>
    <row r="46" spans="1:11" ht="20" customHeight="1" thickBot="1">
      <c r="A46" s="155" t="str">
        <f>'BASE PAX'!A21</f>
        <v>DINNER 7</v>
      </c>
      <c r="B46" s="74">
        <f>($B$5+$B$6)*'BASE PAX'!B21</f>
        <v>0</v>
      </c>
      <c r="C46" s="123">
        <f>'BASE PAX'!C21</f>
        <v>75000</v>
      </c>
      <c r="D46" s="125">
        <f>'BASE PAX'!D21</f>
        <v>90000</v>
      </c>
      <c r="E46" s="151">
        <f t="shared" si="4"/>
        <v>0</v>
      </c>
      <c r="F46" s="124">
        <f t="shared" si="3"/>
        <v>0</v>
      </c>
      <c r="G46" s="146">
        <f t="shared" si="5"/>
        <v>0</v>
      </c>
      <c r="I46" s="10"/>
    </row>
    <row r="47" spans="1:11" ht="20" customHeight="1">
      <c r="A47" s="155" t="str">
        <f>'BASE PAX'!A22</f>
        <v>QUANT. TOTAL | PADRAO ALMOÇO</v>
      </c>
      <c r="B47" s="74">
        <f>'BASE PAX'!B22</f>
        <v>0</v>
      </c>
      <c r="C47" s="123"/>
      <c r="D47" s="125"/>
      <c r="E47" s="151"/>
      <c r="F47" s="124"/>
      <c r="G47" s="325">
        <f>0.2*I47</f>
        <v>0</v>
      </c>
      <c r="H47" s="338" t="str">
        <f>A47</f>
        <v>QUANT. TOTAL | PADRAO ALMOÇO</v>
      </c>
      <c r="I47" s="349">
        <f>(B5*B47*'BASE PAX'!G22)+(B6*B47*'BASE PAX'!H22)</f>
        <v>0</v>
      </c>
      <c r="J47" s="328"/>
      <c r="K47" s="329"/>
    </row>
    <row r="48" spans="1:11" ht="20" customHeight="1" thickBot="1">
      <c r="A48" s="163" t="str">
        <f>'BASE PAX'!A23</f>
        <v>QUANT. TOTAL | PADRAO JANTAR</v>
      </c>
      <c r="B48" s="164">
        <f>'BASE PAX'!B23</f>
        <v>0</v>
      </c>
      <c r="C48" s="165"/>
      <c r="D48" s="166"/>
      <c r="E48" s="167"/>
      <c r="F48" s="168"/>
      <c r="G48" s="326">
        <f>0.2*I48</f>
        <v>0</v>
      </c>
      <c r="H48" s="347" t="str">
        <f>A48</f>
        <v>QUANT. TOTAL | PADRAO JANTAR</v>
      </c>
      <c r="I48" s="335">
        <f>(B5*B48*'BASE PAX'!G23)+(B6*B48*'BASE PAX'!H23)</f>
        <v>0</v>
      </c>
      <c r="J48" s="330"/>
      <c r="K48" s="331"/>
    </row>
    <row r="49" spans="1:16" ht="29" customHeight="1" thickBot="1">
      <c r="A49" s="161" t="s">
        <v>72</v>
      </c>
      <c r="B49" s="157"/>
      <c r="C49" s="158"/>
      <c r="D49" s="303"/>
      <c r="E49" s="104">
        <f>SUM(E31:E48)</f>
        <v>0</v>
      </c>
      <c r="F49" s="104">
        <f>SUM(F31:F48)</f>
        <v>0</v>
      </c>
      <c r="G49" s="327">
        <f>SUM(G31:G48)</f>
        <v>0</v>
      </c>
      <c r="H49" s="341" t="s">
        <v>55</v>
      </c>
      <c r="I49" s="342">
        <f>I31+I47+I48</f>
        <v>0</v>
      </c>
      <c r="J49" s="359">
        <f>I49+E49</f>
        <v>0</v>
      </c>
      <c r="K49" s="333" t="s">
        <v>160</v>
      </c>
    </row>
    <row r="50" spans="1:16" s="8" customFormat="1" ht="11" customHeight="1" thickBot="1">
      <c r="A50" s="16"/>
      <c r="B50" s="56"/>
      <c r="C50" s="105"/>
      <c r="D50" s="102"/>
      <c r="E50" s="102"/>
      <c r="F50" s="7"/>
      <c r="G50" s="17"/>
      <c r="H50" s="7"/>
      <c r="I50" s="7"/>
      <c r="J50" s="7"/>
      <c r="K50" s="7"/>
      <c r="L50" s="7"/>
      <c r="M50" s="7"/>
      <c r="N50" s="7"/>
      <c r="O50" s="7"/>
      <c r="P50" s="7"/>
    </row>
    <row r="51" spans="1:16" ht="34" customHeight="1" thickBot="1">
      <c r="A51" s="21" t="s">
        <v>161</v>
      </c>
      <c r="B51" s="207" t="s">
        <v>52</v>
      </c>
      <c r="C51" s="208" t="s">
        <v>53</v>
      </c>
      <c r="D51" s="209" t="s">
        <v>54</v>
      </c>
      <c r="E51" s="172" t="s">
        <v>55</v>
      </c>
      <c r="F51" s="142" t="s">
        <v>158</v>
      </c>
      <c r="G51" s="182" t="s">
        <v>159</v>
      </c>
    </row>
    <row r="52" spans="1:16" ht="20" customHeight="1">
      <c r="A52" s="76" t="str">
        <f>'BASE PAX'!A27</f>
        <v>SUCOS</v>
      </c>
      <c r="B52" s="205">
        <f>'BASE PAX'!B27</f>
        <v>0</v>
      </c>
      <c r="C52" s="193">
        <f>'BASE PAX'!C27</f>
        <v>0</v>
      </c>
      <c r="D52" s="206">
        <f t="shared" ref="D52:D58" si="6">(C52*0.2)+C52</f>
        <v>0</v>
      </c>
      <c r="E52" s="174">
        <f t="shared" ref="E52:E58" si="7">D52*B52</f>
        <v>0</v>
      </c>
      <c r="F52" s="173">
        <f t="shared" ref="F52:F58" si="8">B52*C52</f>
        <v>0</v>
      </c>
      <c r="G52" s="183">
        <f t="shared" ref="G52:G59" si="9">E52-F52</f>
        <v>0</v>
      </c>
    </row>
    <row r="53" spans="1:16" ht="20" customHeight="1">
      <c r="A53" s="76" t="str">
        <f>'BASE PAX'!A28</f>
        <v>SUCOS</v>
      </c>
      <c r="B53" s="205">
        <f>'BASE PAX'!B28</f>
        <v>0</v>
      </c>
      <c r="C53" s="175">
        <f>'BASE PAX'!C28</f>
        <v>0</v>
      </c>
      <c r="D53" s="176">
        <f t="shared" si="6"/>
        <v>0</v>
      </c>
      <c r="E53" s="174">
        <f t="shared" si="7"/>
        <v>0</v>
      </c>
      <c r="F53" s="173">
        <f t="shared" si="8"/>
        <v>0</v>
      </c>
      <c r="G53" s="183">
        <f t="shared" si="9"/>
        <v>0</v>
      </c>
    </row>
    <row r="54" spans="1:16" ht="20" customHeight="1">
      <c r="A54" s="87" t="str">
        <f>'BASE PAX'!A29</f>
        <v>CERVEJAS</v>
      </c>
      <c r="B54" s="205">
        <f>'BASE PAX'!B29</f>
        <v>0</v>
      </c>
      <c r="C54" s="175">
        <f>'BASE PAX'!C29</f>
        <v>2000</v>
      </c>
      <c r="D54" s="176">
        <f t="shared" si="6"/>
        <v>2400</v>
      </c>
      <c r="E54" s="174">
        <f t="shared" si="7"/>
        <v>0</v>
      </c>
      <c r="F54" s="173">
        <f t="shared" si="8"/>
        <v>0</v>
      </c>
      <c r="G54" s="183">
        <f t="shared" si="9"/>
        <v>0</v>
      </c>
    </row>
    <row r="55" spans="1:16" ht="20" customHeight="1">
      <c r="A55" s="87" t="str">
        <f>'BASE PAX'!A30</f>
        <v>VINHOS</v>
      </c>
      <c r="B55" s="205">
        <f>'BASE PAX'!B30</f>
        <v>0</v>
      </c>
      <c r="C55" s="175">
        <f>'BASE PAX'!C30</f>
        <v>8000</v>
      </c>
      <c r="D55" s="176">
        <f t="shared" si="6"/>
        <v>9600</v>
      </c>
      <c r="E55" s="174">
        <f t="shared" si="7"/>
        <v>0</v>
      </c>
      <c r="F55" s="173">
        <f t="shared" si="8"/>
        <v>0</v>
      </c>
      <c r="G55" s="183">
        <f t="shared" si="9"/>
        <v>0</v>
      </c>
    </row>
    <row r="56" spans="1:16" ht="20" customHeight="1">
      <c r="A56" s="87" t="str">
        <f>'BASE PAX'!A31</f>
        <v>DRINKS</v>
      </c>
      <c r="B56" s="205">
        <f>'BASE PAX'!B31</f>
        <v>0</v>
      </c>
      <c r="C56" s="175">
        <f>'BASE PAX'!C31</f>
        <v>15000</v>
      </c>
      <c r="D56" s="176">
        <f t="shared" si="6"/>
        <v>18000</v>
      </c>
      <c r="E56" s="174">
        <f t="shared" si="7"/>
        <v>0</v>
      </c>
      <c r="F56" s="173">
        <f t="shared" si="8"/>
        <v>0</v>
      </c>
      <c r="G56" s="183">
        <f t="shared" si="9"/>
        <v>0</v>
      </c>
    </row>
    <row r="57" spans="1:16" ht="20" customHeight="1">
      <c r="A57" s="87" t="str">
        <f>'BASE PAX'!A32</f>
        <v>COOLER</v>
      </c>
      <c r="B57" s="205">
        <f>'BASE PAX'!B32</f>
        <v>0</v>
      </c>
      <c r="C57" s="175">
        <f>'BASE PAX'!C32</f>
        <v>5000</v>
      </c>
      <c r="D57" s="176">
        <f t="shared" si="6"/>
        <v>6000</v>
      </c>
      <c r="E57" s="174">
        <f t="shared" si="7"/>
        <v>0</v>
      </c>
      <c r="F57" s="173">
        <f t="shared" si="8"/>
        <v>0</v>
      </c>
      <c r="G57" s="183">
        <f t="shared" si="9"/>
        <v>0</v>
      </c>
    </row>
    <row r="58" spans="1:16" ht="20" customHeight="1" thickBot="1">
      <c r="A58" s="180">
        <f>'BASE PAX'!A33</f>
        <v>0</v>
      </c>
      <c r="B58" s="205">
        <f>'BASE PAX'!B33</f>
        <v>0</v>
      </c>
      <c r="C58" s="178">
        <f>'BASE PAX'!C33</f>
        <v>0</v>
      </c>
      <c r="D58" s="179">
        <f t="shared" si="6"/>
        <v>0</v>
      </c>
      <c r="E58" s="184">
        <f t="shared" si="7"/>
        <v>0</v>
      </c>
      <c r="F58" s="185">
        <f t="shared" si="8"/>
        <v>0</v>
      </c>
      <c r="G58" s="186">
        <f t="shared" si="9"/>
        <v>0</v>
      </c>
    </row>
    <row r="59" spans="1:16" ht="48" customHeight="1" thickBot="1">
      <c r="A59" s="21" t="s">
        <v>79</v>
      </c>
      <c r="B59" s="77"/>
      <c r="C59" s="126"/>
      <c r="D59" s="181"/>
      <c r="E59" s="127">
        <f>SUM(E52:E58)</f>
        <v>0</v>
      </c>
      <c r="F59" s="188">
        <f>SUM(F52:F58)</f>
        <v>0</v>
      </c>
      <c r="G59" s="189">
        <f t="shared" si="9"/>
        <v>0</v>
      </c>
    </row>
    <row r="60" spans="1:16" s="8" customFormat="1" ht="11" customHeight="1" thickBot="1">
      <c r="A60" s="16"/>
      <c r="B60" s="56"/>
      <c r="C60" s="105"/>
      <c r="D60" s="102"/>
      <c r="E60" s="102"/>
      <c r="F60" s="7"/>
      <c r="G60" s="17"/>
      <c r="H60" s="7"/>
      <c r="I60" s="7"/>
      <c r="J60" s="7"/>
      <c r="K60" s="7"/>
      <c r="L60" s="7"/>
      <c r="M60" s="7"/>
      <c r="N60" s="7"/>
      <c r="O60" s="7"/>
      <c r="P60" s="7"/>
    </row>
    <row r="61" spans="1:16" s="10" customFormat="1" ht="42" customHeight="1" thickBot="1">
      <c r="A61" s="226" t="s">
        <v>18</v>
      </c>
      <c r="B61" s="227" t="s">
        <v>52</v>
      </c>
      <c r="C61" s="228" t="s">
        <v>53</v>
      </c>
      <c r="D61" s="229" t="s">
        <v>54</v>
      </c>
      <c r="E61" s="229" t="s">
        <v>55</v>
      </c>
      <c r="F61" s="228" t="s">
        <v>158</v>
      </c>
      <c r="G61" s="230" t="s">
        <v>159</v>
      </c>
    </row>
    <row r="62" spans="1:16" ht="20" customHeight="1">
      <c r="A62" s="223" t="str">
        <f>'BASE PAX'!A37</f>
        <v>HOTTUBE</v>
      </c>
      <c r="B62" s="224">
        <f>'BASE PAX'!B37</f>
        <v>0</v>
      </c>
      <c r="C62" s="195">
        <f>'BASE PAX'!C37</f>
        <v>12000</v>
      </c>
      <c r="D62" s="225">
        <f t="shared" ref="D62:D71" si="10">C62*0.2+C62</f>
        <v>14400</v>
      </c>
      <c r="E62" s="225">
        <f t="shared" ref="E62:E71" si="11">D62*B62</f>
        <v>0</v>
      </c>
      <c r="F62" s="195">
        <f t="shared" ref="F62:F72" si="12">B62*C62</f>
        <v>0</v>
      </c>
      <c r="G62" s="194">
        <f t="shared" ref="G62:G72" si="13">E62-F62</f>
        <v>0</v>
      </c>
    </row>
    <row r="63" spans="1:16" ht="20" customHeight="1">
      <c r="A63" s="219" t="str">
        <f>'BASE PAX'!A38</f>
        <v>TREKKING 1/2 DAY</v>
      </c>
      <c r="B63" s="224">
        <f>'BASE PAX'!B38</f>
        <v>0</v>
      </c>
      <c r="C63" s="196">
        <f>'BASE PAX'!C38</f>
        <v>60000</v>
      </c>
      <c r="D63" s="220">
        <f t="shared" si="10"/>
        <v>72000</v>
      </c>
      <c r="E63" s="220">
        <f t="shared" si="11"/>
        <v>0</v>
      </c>
      <c r="F63" s="196">
        <f t="shared" si="12"/>
        <v>0</v>
      </c>
      <c r="G63" s="190">
        <f t="shared" si="13"/>
        <v>0</v>
      </c>
    </row>
    <row r="64" spans="1:16" ht="20" customHeight="1">
      <c r="A64" s="219" t="str">
        <f>'BASE PAX'!A39</f>
        <v>TREKKING FUK DAY</v>
      </c>
      <c r="B64" s="224">
        <f>'BASE PAX'!B39</f>
        <v>0</v>
      </c>
      <c r="C64" s="196">
        <f>'BASE PAX'!C39</f>
        <v>90000</v>
      </c>
      <c r="D64" s="220">
        <f t="shared" si="10"/>
        <v>108000</v>
      </c>
      <c r="E64" s="220">
        <f t="shared" si="11"/>
        <v>0</v>
      </c>
      <c r="F64" s="196">
        <f t="shared" si="12"/>
        <v>0</v>
      </c>
      <c r="G64" s="190">
        <f t="shared" si="13"/>
        <v>0</v>
      </c>
    </row>
    <row r="65" spans="1:16" ht="20" customHeight="1">
      <c r="A65" s="219" t="str">
        <f>'BASE PAX'!A40</f>
        <v>FLOTADA FAMILIAR</v>
      </c>
      <c r="B65" s="224">
        <f>'BASE PAX'!B40</f>
        <v>0</v>
      </c>
      <c r="C65" s="196">
        <f>'BASE PAX'!C40</f>
        <v>60000</v>
      </c>
      <c r="D65" s="220">
        <f t="shared" si="10"/>
        <v>72000</v>
      </c>
      <c r="E65" s="220">
        <f t="shared" si="11"/>
        <v>0</v>
      </c>
      <c r="F65" s="196">
        <f t="shared" si="12"/>
        <v>0</v>
      </c>
      <c r="G65" s="190">
        <f t="shared" si="13"/>
        <v>0</v>
      </c>
    </row>
    <row r="66" spans="1:16" ht="20" customHeight="1">
      <c r="A66" s="219" t="str">
        <f>'BASE PAX'!A41</f>
        <v>RAFTING 1/2 DAY</v>
      </c>
      <c r="B66" s="224">
        <f>'BASE PAX'!B41</f>
        <v>0</v>
      </c>
      <c r="C66" s="196">
        <f>'BASE PAX'!C41</f>
        <v>75000</v>
      </c>
      <c r="D66" s="220">
        <f t="shared" si="10"/>
        <v>90000</v>
      </c>
      <c r="E66" s="220">
        <f t="shared" si="11"/>
        <v>0</v>
      </c>
      <c r="F66" s="196">
        <f t="shared" si="12"/>
        <v>0</v>
      </c>
      <c r="G66" s="190">
        <f t="shared" si="13"/>
        <v>0</v>
      </c>
    </row>
    <row r="67" spans="1:16" ht="20" customHeight="1">
      <c r="A67" s="219" t="str">
        <f>'BASE PAX'!A42</f>
        <v>RAFTING FULL DAY</v>
      </c>
      <c r="B67" s="224">
        <f>'BASE PAX'!B42</f>
        <v>0</v>
      </c>
      <c r="C67" s="196">
        <f>'BASE PAX'!C42</f>
        <v>110000</v>
      </c>
      <c r="D67" s="220">
        <f t="shared" si="10"/>
        <v>132000</v>
      </c>
      <c r="E67" s="220">
        <f t="shared" si="11"/>
        <v>0</v>
      </c>
      <c r="F67" s="196">
        <f t="shared" si="12"/>
        <v>0</v>
      </c>
      <c r="G67" s="190">
        <f t="shared" si="13"/>
        <v>0</v>
      </c>
    </row>
    <row r="68" spans="1:16" ht="20" customHeight="1">
      <c r="A68" s="219" t="str">
        <f>'BASE PAX'!A43</f>
        <v>CABALGADA 1/2 DAy</v>
      </c>
      <c r="B68" s="224">
        <f>'BASE PAX'!B43</f>
        <v>0</v>
      </c>
      <c r="C68" s="196">
        <f>'BASE PAX'!C43</f>
        <v>90000</v>
      </c>
      <c r="D68" s="220">
        <f t="shared" si="10"/>
        <v>108000</v>
      </c>
      <c r="E68" s="220">
        <f t="shared" si="11"/>
        <v>0</v>
      </c>
      <c r="F68" s="196">
        <f t="shared" si="12"/>
        <v>0</v>
      </c>
      <c r="G68" s="190">
        <f t="shared" si="13"/>
        <v>0</v>
      </c>
    </row>
    <row r="69" spans="1:16" ht="20" customHeight="1">
      <c r="A69" s="219" t="str">
        <f>'BASE PAX'!A44</f>
        <v>CABALGADA FULL DAY</v>
      </c>
      <c r="B69" s="224">
        <f>'BASE PAX'!B44</f>
        <v>0</v>
      </c>
      <c r="C69" s="196">
        <f>'BASE PAX'!C44</f>
        <v>140000</v>
      </c>
      <c r="D69" s="220">
        <f t="shared" si="10"/>
        <v>168000</v>
      </c>
      <c r="E69" s="220">
        <f t="shared" si="11"/>
        <v>0</v>
      </c>
      <c r="F69" s="196">
        <f t="shared" si="12"/>
        <v>0</v>
      </c>
      <c r="G69" s="190">
        <f t="shared" si="13"/>
        <v>0</v>
      </c>
    </row>
    <row r="70" spans="1:16" ht="20" customHeight="1">
      <c r="A70" s="219" t="str">
        <f>'BASE PAX'!A45</f>
        <v>LANCHA YELCHO</v>
      </c>
      <c r="B70" s="224">
        <f>'BASE PAX'!B45</f>
        <v>0</v>
      </c>
      <c r="C70" s="196">
        <f>'BASE PAX'!C45</f>
        <v>120000</v>
      </c>
      <c r="D70" s="220">
        <f t="shared" si="10"/>
        <v>144000</v>
      </c>
      <c r="E70" s="220">
        <f t="shared" si="11"/>
        <v>0</v>
      </c>
      <c r="F70" s="196">
        <f t="shared" si="12"/>
        <v>0</v>
      </c>
      <c r="G70" s="190">
        <f t="shared" si="13"/>
        <v>0</v>
      </c>
    </row>
    <row r="71" spans="1:16" ht="20" customHeight="1" thickBot="1">
      <c r="A71" s="221" t="str">
        <f>'BASE PAX'!A46</f>
        <v>RECREACAO INFANTIL 3HS</v>
      </c>
      <c r="B71" s="224">
        <f>'BASE PAX'!B46</f>
        <v>0</v>
      </c>
      <c r="C71" s="197">
        <f>'BASE PAX'!C46</f>
        <v>30000</v>
      </c>
      <c r="D71" s="220">
        <f t="shared" si="10"/>
        <v>36000</v>
      </c>
      <c r="E71" s="222">
        <f t="shared" si="11"/>
        <v>0</v>
      </c>
      <c r="F71" s="197">
        <f t="shared" si="12"/>
        <v>0</v>
      </c>
      <c r="G71" s="192">
        <f t="shared" si="13"/>
        <v>0</v>
      </c>
    </row>
    <row r="72" spans="1:16" ht="48" customHeight="1" thickBot="1">
      <c r="A72" s="22" t="s">
        <v>84</v>
      </c>
      <c r="B72" s="79"/>
      <c r="C72" s="128"/>
      <c r="D72" s="128"/>
      <c r="E72" s="198">
        <f>SUM(E62:E71)</f>
        <v>0</v>
      </c>
      <c r="F72" s="204">
        <f t="shared" si="12"/>
        <v>0</v>
      </c>
      <c r="G72" s="203">
        <f t="shared" si="13"/>
        <v>0</v>
      </c>
    </row>
    <row r="73" spans="1:16" ht="37" customHeight="1" thickBot="1"/>
    <row r="74" spans="1:16" s="8" customFormat="1" ht="36" customHeight="1" thickBot="1">
      <c r="A74" s="23" t="s">
        <v>116</v>
      </c>
      <c r="B74" s="214" t="s">
        <v>52</v>
      </c>
      <c r="C74" s="215" t="s">
        <v>53</v>
      </c>
      <c r="D74" s="153" t="s">
        <v>54</v>
      </c>
      <c r="E74" s="153" t="s">
        <v>55</v>
      </c>
      <c r="F74" s="143" t="s">
        <v>162</v>
      </c>
      <c r="G74" s="147" t="s">
        <v>159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 ht="20" customHeight="1">
      <c r="A75" s="88" t="str">
        <f>'BASE PAX'!A50</f>
        <v>TRANSFER AEROPORTO CHEGADA</v>
      </c>
      <c r="B75" s="211">
        <f>'BASE PAX'!B50</f>
        <v>0</v>
      </c>
      <c r="C75" s="213">
        <f>'BASE PAX'!C50</f>
        <v>80000</v>
      </c>
      <c r="D75" s="231">
        <f>C75*0.2+C75</f>
        <v>96000</v>
      </c>
      <c r="E75" s="231">
        <f>D75*B75</f>
        <v>0</v>
      </c>
      <c r="F75" s="210">
        <f>B75*C75</f>
        <v>0</v>
      </c>
      <c r="G75" s="199">
        <f t="shared" ref="G75:G80" si="14">E75-F75</f>
        <v>0</v>
      </c>
    </row>
    <row r="76" spans="1:16" ht="20" customHeight="1">
      <c r="A76" s="88" t="str">
        <f>'BASE PAX'!A51</f>
        <v>TRANSFER AEROPORTO PARTIDA</v>
      </c>
      <c r="B76" s="211">
        <f>'BASE PAX'!B51</f>
        <v>0</v>
      </c>
      <c r="C76" s="212">
        <f>'BASE PAX'!C51</f>
        <v>80000</v>
      </c>
      <c r="D76" s="232">
        <f>C76*0.2+C76</f>
        <v>96000</v>
      </c>
      <c r="E76" s="232">
        <f>D76*B76</f>
        <v>0</v>
      </c>
      <c r="F76" s="210">
        <f>B76*C76</f>
        <v>0</v>
      </c>
      <c r="G76" s="200">
        <f t="shared" si="14"/>
        <v>0</v>
      </c>
    </row>
    <row r="77" spans="1:16" ht="20" customHeight="1">
      <c r="A77" s="88" t="str">
        <f>'BASE PAX'!A52</f>
        <v>TRANSFERS INTERNO</v>
      </c>
      <c r="B77" s="211">
        <f>'BASE PAX'!B52</f>
        <v>0</v>
      </c>
      <c r="C77" s="212">
        <f>'BASE PAX'!C52</f>
        <v>18000</v>
      </c>
      <c r="D77" s="232">
        <f>C77*0.2+C77</f>
        <v>21600</v>
      </c>
      <c r="E77" s="232">
        <f>D77*B77</f>
        <v>0</v>
      </c>
      <c r="F77" s="210">
        <f>B77*C77</f>
        <v>0</v>
      </c>
      <c r="G77" s="200">
        <f t="shared" si="14"/>
        <v>0</v>
      </c>
    </row>
    <row r="78" spans="1:16" ht="20" customHeight="1">
      <c r="A78" s="88" t="str">
        <f>'BASE PAX'!A53</f>
        <v>EXTRAS 1</v>
      </c>
      <c r="B78" s="211">
        <f>'BASE PAX'!B53</f>
        <v>0</v>
      </c>
      <c r="C78" s="212">
        <f>'BASE PAX'!C53</f>
        <v>150000</v>
      </c>
      <c r="D78" s="232">
        <f>C78*0.2+C78</f>
        <v>180000</v>
      </c>
      <c r="E78" s="232">
        <f>D78*B78</f>
        <v>0</v>
      </c>
      <c r="F78" s="210">
        <f>B78*C78</f>
        <v>0</v>
      </c>
      <c r="G78" s="200">
        <f t="shared" si="14"/>
        <v>0</v>
      </c>
    </row>
    <row r="79" spans="1:16" ht="20" customHeight="1" thickBot="1">
      <c r="A79" s="218" t="str">
        <f>'BASE PAX'!A54</f>
        <v>EXTRAS 2</v>
      </c>
      <c r="B79" s="211">
        <f>'BASE PAX'!B54</f>
        <v>0</v>
      </c>
      <c r="C79" s="216">
        <f>'BASE PAX'!C54</f>
        <v>0</v>
      </c>
      <c r="D79" s="233">
        <f>C79*0.2+C79</f>
        <v>0</v>
      </c>
      <c r="E79" s="233">
        <f>D79*B79</f>
        <v>0</v>
      </c>
      <c r="F79" s="217">
        <f>B79*C79</f>
        <v>0</v>
      </c>
      <c r="G79" s="201">
        <f t="shared" si="14"/>
        <v>0</v>
      </c>
    </row>
    <row r="80" spans="1:16" ht="44" customHeight="1" thickBot="1">
      <c r="A80" s="23" t="s">
        <v>89</v>
      </c>
      <c r="B80" s="80"/>
      <c r="C80" s="130"/>
      <c r="D80" s="130"/>
      <c r="E80" s="131">
        <f>SUM(E75:E79)</f>
        <v>0</v>
      </c>
      <c r="F80" s="131">
        <f>SUM(F75:F79)</f>
        <v>0</v>
      </c>
      <c r="G80" s="203">
        <f t="shared" si="14"/>
        <v>0</v>
      </c>
    </row>
    <row r="81" spans="1:16" s="8" customFormat="1" ht="11" customHeight="1" thickBot="1">
      <c r="A81" s="16"/>
      <c r="B81" s="56"/>
      <c r="C81" s="105"/>
      <c r="D81" s="102"/>
      <c r="E81" s="102"/>
      <c r="F81" s="7"/>
      <c r="G81" s="17"/>
      <c r="H81" s="7"/>
      <c r="I81" s="7"/>
      <c r="J81" s="7"/>
      <c r="K81" s="7"/>
      <c r="L81" s="7"/>
      <c r="M81" s="7"/>
      <c r="N81" s="7"/>
      <c r="O81" s="7"/>
      <c r="P81" s="7"/>
    </row>
    <row r="82" spans="1:16" s="9" customFormat="1" ht="42" customHeight="1" thickBot="1">
      <c r="A82" s="246" t="s">
        <v>117</v>
      </c>
      <c r="B82" s="247" t="s">
        <v>52</v>
      </c>
      <c r="C82" s="248" t="s">
        <v>53</v>
      </c>
      <c r="D82" s="249" t="s">
        <v>54</v>
      </c>
      <c r="E82" s="249" t="s">
        <v>55</v>
      </c>
      <c r="F82" s="248" t="s">
        <v>162</v>
      </c>
      <c r="G82" s="147" t="s">
        <v>159</v>
      </c>
    </row>
    <row r="83" spans="1:16" ht="20" customHeight="1">
      <c r="A83" s="81" t="str">
        <f>'BASE PAX'!A58</f>
        <v>WS INSTRUCTOR</v>
      </c>
      <c r="B83" s="238">
        <f>'BASE PAX'!B58</f>
        <v>0</v>
      </c>
      <c r="C83" s="239">
        <f>'BASE PAX'!C58</f>
        <v>3415000</v>
      </c>
      <c r="D83" s="240">
        <f>(C83*0.15)+C83</f>
        <v>3927250</v>
      </c>
      <c r="E83" s="240">
        <f>D83*B83</f>
        <v>0</v>
      </c>
      <c r="F83" s="234">
        <f>B83*C83</f>
        <v>0</v>
      </c>
      <c r="G83" s="199">
        <f>E83-F83</f>
        <v>0</v>
      </c>
    </row>
    <row r="84" spans="1:16" ht="20" customHeight="1">
      <c r="A84" s="81" t="str">
        <f>'BASE PAX'!A59</f>
        <v>PRODUCER FEE</v>
      </c>
      <c r="B84" s="235">
        <f>'BASE PAX'!B59</f>
        <v>0</v>
      </c>
      <c r="C84" s="236">
        <f>'BASE PAX'!C59</f>
        <v>180000</v>
      </c>
      <c r="D84" s="237">
        <f>(C84*0.15)+C84</f>
        <v>207000</v>
      </c>
      <c r="E84" s="237">
        <f>D84*B84</f>
        <v>0</v>
      </c>
      <c r="F84" s="234">
        <f>B84*C84</f>
        <v>0</v>
      </c>
      <c r="G84" s="200">
        <f>E84-F84</f>
        <v>0</v>
      </c>
    </row>
    <row r="85" spans="1:16" ht="20" customHeight="1" thickBot="1">
      <c r="A85" s="241">
        <f>'BASE PAX'!A60</f>
        <v>0</v>
      </c>
      <c r="B85" s="242">
        <f>'BASE PAX'!B60</f>
        <v>0</v>
      </c>
      <c r="C85" s="243">
        <f>'BASE PAX'!C60</f>
        <v>20000</v>
      </c>
      <c r="D85" s="244">
        <f>(C85*0.15)+C85</f>
        <v>23000</v>
      </c>
      <c r="E85" s="244">
        <f>D85*B85</f>
        <v>0</v>
      </c>
      <c r="F85" s="245">
        <f>B85*C85</f>
        <v>0</v>
      </c>
      <c r="G85" s="201">
        <f>E85-F85</f>
        <v>0</v>
      </c>
    </row>
    <row r="86" spans="1:16" ht="41" customHeight="1" thickBot="1">
      <c r="A86" s="24" t="s">
        <v>163</v>
      </c>
      <c r="B86" s="82"/>
      <c r="C86" s="132"/>
      <c r="D86" s="132"/>
      <c r="E86" s="133">
        <f>SUM(E83:E85)</f>
        <v>0</v>
      </c>
      <c r="F86" s="133">
        <f>SUM(F81:F85)</f>
        <v>0</v>
      </c>
      <c r="G86" s="203">
        <f>E86-F86</f>
        <v>0</v>
      </c>
    </row>
    <row r="87" spans="1:16" s="8" customFormat="1" ht="11" customHeight="1" thickBot="1">
      <c r="A87" s="16"/>
      <c r="B87" s="56"/>
      <c r="C87" s="105"/>
      <c r="D87" s="102"/>
      <c r="E87" s="102"/>
      <c r="F87" s="7"/>
      <c r="G87" s="17"/>
      <c r="H87" s="7"/>
      <c r="I87" s="7"/>
      <c r="J87" s="7"/>
      <c r="K87" s="7"/>
      <c r="L87" s="7"/>
      <c r="M87" s="7"/>
      <c r="N87" s="7"/>
      <c r="O87" s="7"/>
      <c r="P87" s="7"/>
    </row>
    <row r="88" spans="1:16" ht="38" customHeight="1" thickBot="1">
      <c r="A88" s="258" t="s">
        <v>164</v>
      </c>
      <c r="B88" s="259" t="s">
        <v>92</v>
      </c>
      <c r="C88" s="250" t="s">
        <v>53</v>
      </c>
      <c r="D88" s="260" t="s">
        <v>54</v>
      </c>
      <c r="E88" s="260" t="s">
        <v>55</v>
      </c>
      <c r="F88" s="250"/>
      <c r="G88" s="147" t="s">
        <v>159</v>
      </c>
    </row>
    <row r="89" spans="1:16" ht="20" customHeight="1">
      <c r="A89" s="255" t="str">
        <f>'BASE PAX'!A64</f>
        <v>COORDENAÇÃO PRODUÇÃO</v>
      </c>
      <c r="B89" s="256">
        <f>'BASE PAX'!B64</f>
        <v>0</v>
      </c>
      <c r="C89" s="257">
        <f>'BASE PAX'!C64</f>
        <v>50000</v>
      </c>
      <c r="D89" s="257">
        <f>'BASE PAX'!D64</f>
        <v>0</v>
      </c>
      <c r="E89" s="121">
        <f>D89*B89</f>
        <v>0</v>
      </c>
      <c r="F89" s="257"/>
      <c r="G89" s="199">
        <f t="shared" ref="G89:G94" si="15">E89*0.2</f>
        <v>0</v>
      </c>
    </row>
    <row r="90" spans="1:16" ht="20" customHeight="1">
      <c r="A90" s="251" t="str">
        <f>'BASE PAX'!A65</f>
        <v>EXTRA MÃO DE OBRA</v>
      </c>
      <c r="B90" s="256">
        <f>'BASE PAX'!B65</f>
        <v>0</v>
      </c>
      <c r="C90" s="253">
        <f>'BASE PAX'!C65</f>
        <v>50000</v>
      </c>
      <c r="D90" s="253">
        <f>'BASE PAX'!D65</f>
        <v>0</v>
      </c>
      <c r="E90" s="121">
        <f t="shared" ref="E90:E94" si="16">D90*B90</f>
        <v>0</v>
      </c>
      <c r="F90" s="253"/>
      <c r="G90" s="199">
        <f t="shared" si="15"/>
        <v>0</v>
      </c>
    </row>
    <row r="91" spans="1:16" ht="20" customHeight="1">
      <c r="A91" s="251" t="str">
        <f>'BASE PAX'!A66</f>
        <v>TAXA LIMPEZA CHECK IN / CHECKOUT</v>
      </c>
      <c r="B91" s="252">
        <f>'BASE PAX'!B66</f>
        <v>0</v>
      </c>
      <c r="C91" s="253">
        <f>'BASE PAX'!C66</f>
        <v>40000</v>
      </c>
      <c r="D91" s="253">
        <f>'BASE PAX'!D66</f>
        <v>0</v>
      </c>
      <c r="E91" s="121">
        <f t="shared" si="16"/>
        <v>0</v>
      </c>
      <c r="F91" s="253"/>
      <c r="G91" s="199">
        <f t="shared" si="15"/>
        <v>0</v>
      </c>
    </row>
    <row r="92" spans="1:16" ht="20" customHeight="1">
      <c r="A92" s="251" t="str">
        <f>'BASE PAX'!A67</f>
        <v>TAXA LIMPEZA DIARIA</v>
      </c>
      <c r="B92" s="254">
        <f>'BASE PAX'!B67</f>
        <v>0</v>
      </c>
      <c r="C92" s="253">
        <f>'BASE PAX'!C67</f>
        <v>30000</v>
      </c>
      <c r="D92" s="253">
        <f>'BASE PAX'!D67</f>
        <v>0</v>
      </c>
      <c r="E92" s="121">
        <f t="shared" si="16"/>
        <v>0</v>
      </c>
      <c r="F92" s="253"/>
      <c r="G92" s="199">
        <f t="shared" si="15"/>
        <v>0</v>
      </c>
    </row>
    <row r="93" spans="1:16" ht="20" customHeight="1">
      <c r="A93" s="251" t="str">
        <f>'BASE PAX'!A68</f>
        <v>SOUVENIR</v>
      </c>
      <c r="B93" s="252">
        <f>'BASE PAX'!B68</f>
        <v>0</v>
      </c>
      <c r="C93" s="253">
        <f>'BASE PAX'!C68</f>
        <v>15000</v>
      </c>
      <c r="D93" s="253">
        <f>'BASE PAX'!D68</f>
        <v>0</v>
      </c>
      <c r="E93" s="121">
        <f t="shared" si="16"/>
        <v>0</v>
      </c>
      <c r="F93" s="253"/>
      <c r="G93" s="199">
        <f t="shared" si="15"/>
        <v>0</v>
      </c>
    </row>
    <row r="94" spans="1:16" ht="20" customHeight="1" thickBot="1">
      <c r="A94" s="251" t="str">
        <f>'BASE PAX'!A69</f>
        <v>ASSISTENTE COORDENAÇÃO</v>
      </c>
      <c r="B94" s="256">
        <f>'BASE PAX'!B69</f>
        <v>0</v>
      </c>
      <c r="C94" s="253">
        <f>'BASE PAX'!C69</f>
        <v>30000</v>
      </c>
      <c r="D94" s="253">
        <f>'BASE PAX'!D69</f>
        <v>0</v>
      </c>
      <c r="E94" s="121">
        <f t="shared" si="16"/>
        <v>0</v>
      </c>
      <c r="F94" s="253"/>
      <c r="G94" s="199">
        <f t="shared" si="15"/>
        <v>0</v>
      </c>
    </row>
    <row r="95" spans="1:16" ht="41" customHeight="1" thickBot="1">
      <c r="A95" s="25" t="s">
        <v>101</v>
      </c>
      <c r="B95" s="83"/>
      <c r="C95" s="134"/>
      <c r="D95" s="134"/>
      <c r="E95" s="135">
        <f>SUM(E89:E94)</f>
        <v>0</v>
      </c>
      <c r="F95" s="135"/>
      <c r="G95" s="203">
        <f>SUM(G89:G94)</f>
        <v>0</v>
      </c>
    </row>
    <row r="96" spans="1:16" s="8" customFormat="1" ht="11" customHeight="1" thickBot="1">
      <c r="A96" s="16"/>
      <c r="B96" s="56"/>
      <c r="C96" s="105"/>
      <c r="D96" s="102"/>
      <c r="E96" s="102"/>
      <c r="F96" s="7"/>
      <c r="G96" s="17"/>
      <c r="H96" s="7"/>
      <c r="I96" s="7"/>
      <c r="J96" s="7"/>
      <c r="K96" s="7"/>
      <c r="L96" s="7"/>
      <c r="M96" s="7"/>
      <c r="N96" s="7"/>
      <c r="O96" s="7"/>
      <c r="P96" s="7"/>
    </row>
    <row r="97" spans="1:16" ht="38" customHeight="1" thickBot="1">
      <c r="A97" s="26" t="s">
        <v>165</v>
      </c>
      <c r="B97" s="27" t="s">
        <v>92</v>
      </c>
      <c r="C97" s="136" t="s">
        <v>53</v>
      </c>
      <c r="D97" s="136" t="s">
        <v>54</v>
      </c>
      <c r="E97" s="137" t="s">
        <v>55</v>
      </c>
      <c r="F97" s="20"/>
      <c r="G97" s="20"/>
    </row>
    <row r="98" spans="1:16" ht="23" customHeight="1" thickBot="1">
      <c r="A98" s="84" t="str">
        <f>'BASE PAX'!A73</f>
        <v xml:space="preserve">QUINCHO DAY USE / CABIN </v>
      </c>
      <c r="B98" s="85">
        <f>'BASE PAX'!B73</f>
        <v>0</v>
      </c>
      <c r="C98" s="138">
        <f>'BASE PAX'!C73</f>
        <v>15000</v>
      </c>
      <c r="D98" s="138">
        <f>C98+(C98*0.2)</f>
        <v>18000</v>
      </c>
      <c r="E98" s="139">
        <f>D98*B98</f>
        <v>0</v>
      </c>
      <c r="F98" s="19"/>
      <c r="G98" s="17"/>
    </row>
    <row r="99" spans="1:16" ht="42" customHeight="1" thickBot="1">
      <c r="A99" s="26" t="s">
        <v>104</v>
      </c>
      <c r="B99" s="86"/>
      <c r="C99" s="140"/>
      <c r="D99" s="140"/>
      <c r="E99" s="141">
        <f>E98</f>
        <v>0</v>
      </c>
    </row>
    <row r="100" spans="1:16" s="6" customFormat="1" ht="20" customHeight="1">
      <c r="A100" s="28"/>
      <c r="B100" s="52"/>
      <c r="C100" s="11"/>
      <c r="D100" s="11"/>
      <c r="E100" s="11"/>
      <c r="F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9" customHeight="1"/>
  </sheetData>
  <sheetProtection sheet="1" objects="1" scenarios="1"/>
  <mergeCells count="18">
    <mergeCell ref="A11:A12"/>
    <mergeCell ref="D5:F5"/>
    <mergeCell ref="A28:D28"/>
    <mergeCell ref="B5:C5"/>
    <mergeCell ref="F20:F21"/>
    <mergeCell ref="B11:B12"/>
    <mergeCell ref="D11:D12"/>
    <mergeCell ref="B9:C9"/>
    <mergeCell ref="D9:E9"/>
    <mergeCell ref="B8:C8"/>
    <mergeCell ref="D8:E8"/>
    <mergeCell ref="D6:E6"/>
    <mergeCell ref="B6:C6"/>
    <mergeCell ref="I11:K11"/>
    <mergeCell ref="D7:E7"/>
    <mergeCell ref="B7:C7"/>
    <mergeCell ref="F11:G13"/>
    <mergeCell ref="G20:G21"/>
  </mergeCells>
  <pageMargins left="0.7" right="0.7" top="0.75" bottom="0.75" header="0.3" footer="0.3"/>
  <pageSetup paperSize="9" orientation="portrait" horizontalDpi="0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/>
  <dimension ref="A1:P101"/>
  <sheetViews>
    <sheetView topLeftCell="A2" workbookViewId="0">
      <selection activeCell="C92" sqref="C92"/>
    </sheetView>
  </sheetViews>
  <sheetFormatPr baseColWidth="10" defaultColWidth="11" defaultRowHeight="17"/>
  <cols>
    <col min="1" max="1" width="48.796875" style="7" customWidth="1"/>
    <col min="2" max="2" width="23.796875" style="52" customWidth="1"/>
    <col min="3" max="3" width="24" style="7" customWidth="1"/>
    <col min="4" max="4" width="22.796875" style="12" customWidth="1"/>
    <col min="5" max="5" width="22.19921875" style="11" customWidth="1"/>
    <col min="6" max="6" width="31.19921875" style="7" customWidth="1"/>
    <col min="7" max="7" width="27.796875" style="6" customWidth="1"/>
    <col min="8" max="8" width="32.3984375" style="7" customWidth="1"/>
    <col min="9" max="9" width="23.59765625" style="7" customWidth="1"/>
    <col min="10" max="10" width="25.19921875" style="7" customWidth="1"/>
    <col min="11" max="11" width="28.796875" style="7" customWidth="1"/>
    <col min="12" max="12" width="36.19921875" style="7" customWidth="1"/>
    <col min="13" max="28" width="11" style="7" customWidth="1"/>
    <col min="29" max="16384" width="11" style="7"/>
  </cols>
  <sheetData>
    <row r="1" spans="1:16" ht="22" hidden="1" customHeight="1" thickBot="1"/>
    <row r="2" spans="1:16" ht="7" customHeight="1">
      <c r="D2" s="13"/>
    </row>
    <row r="3" spans="1:16" s="10" customFormat="1" ht="1" customHeight="1">
      <c r="A3" s="14"/>
      <c r="B3" s="53"/>
      <c r="C3" s="15" t="s">
        <v>11</v>
      </c>
      <c r="D3" s="15"/>
      <c r="E3" s="15"/>
      <c r="G3" s="9"/>
    </row>
    <row r="4" spans="1:16" s="10" customFormat="1" ht="19" customHeight="1">
      <c r="A4" s="14"/>
      <c r="B4" s="53"/>
      <c r="C4" s="15"/>
      <c r="D4" s="15"/>
      <c r="E4" s="15"/>
      <c r="G4" s="9"/>
    </row>
    <row r="5" spans="1:16" s="10" customFormat="1" ht="46" customHeight="1">
      <c r="A5" s="54" t="s">
        <v>129</v>
      </c>
      <c r="B5" s="674">
        <v>2</v>
      </c>
      <c r="C5" s="675"/>
      <c r="D5" s="277"/>
      <c r="E5" s="277" t="s">
        <v>12</v>
      </c>
      <c r="F5" s="278"/>
      <c r="G5" s="9"/>
    </row>
    <row r="6" spans="1:16" s="8" customFormat="1" ht="37" customHeight="1">
      <c r="A6" s="54" t="s">
        <v>130</v>
      </c>
      <c r="B6" s="683">
        <v>2</v>
      </c>
      <c r="C6" s="684"/>
      <c r="D6" s="682" t="s">
        <v>131</v>
      </c>
      <c r="E6" s="661"/>
      <c r="F6" s="106">
        <f>D21</f>
        <v>0</v>
      </c>
      <c r="G6" s="9"/>
      <c r="H6" s="10"/>
    </row>
    <row r="7" spans="1:16" s="8" customFormat="1" ht="33" customHeight="1">
      <c r="A7" s="55" t="s">
        <v>132</v>
      </c>
      <c r="B7" s="662">
        <f>CALENDAR!C2</f>
        <v>0</v>
      </c>
      <c r="C7" s="661"/>
      <c r="D7" s="660" t="s">
        <v>133</v>
      </c>
      <c r="E7" s="661"/>
      <c r="F7" s="107">
        <f>SUM(F12:F20)</f>
        <v>0</v>
      </c>
      <c r="G7" s="9"/>
      <c r="H7" s="10"/>
    </row>
    <row r="8" spans="1:16" s="8" customFormat="1" ht="31" customHeight="1">
      <c r="A8" s="54" t="s">
        <v>134</v>
      </c>
      <c r="B8" s="680">
        <f>CALENDAR!C3</f>
        <v>0</v>
      </c>
      <c r="C8" s="661"/>
      <c r="D8" s="681" t="s">
        <v>135</v>
      </c>
      <c r="E8" s="661"/>
      <c r="F8" s="108">
        <f>F6-F7</f>
        <v>0</v>
      </c>
      <c r="G8" s="9"/>
      <c r="H8" s="10"/>
    </row>
    <row r="9" spans="1:16" s="8" customFormat="1" ht="32" customHeight="1">
      <c r="A9" s="55" t="s">
        <v>136</v>
      </c>
      <c r="B9" s="678">
        <f>CALENDAR!J2</f>
        <v>0</v>
      </c>
      <c r="C9" s="661"/>
      <c r="D9" s="679" t="s">
        <v>137</v>
      </c>
      <c r="E9" s="661"/>
      <c r="F9" s="1"/>
      <c r="G9" s="9"/>
      <c r="H9" s="10"/>
    </row>
    <row r="10" spans="1:16" s="8" customFormat="1" ht="30" customHeight="1" thickBot="1">
      <c r="A10" s="16"/>
      <c r="B10" s="56"/>
      <c r="C10" s="6"/>
      <c r="D10" s="7"/>
      <c r="E10" s="7"/>
      <c r="F10" s="7"/>
      <c r="G10" s="17"/>
      <c r="H10" s="7"/>
      <c r="I10" s="7"/>
      <c r="J10" s="7"/>
      <c r="K10" s="7"/>
      <c r="L10" s="7"/>
      <c r="M10" s="7"/>
      <c r="N10" s="7"/>
      <c r="O10" s="7"/>
      <c r="P10" s="7"/>
    </row>
    <row r="11" spans="1:16" s="6" customFormat="1" ht="44" customHeight="1" thickBot="1">
      <c r="A11" s="671" t="s">
        <v>138</v>
      </c>
      <c r="B11" s="677" t="s">
        <v>139</v>
      </c>
      <c r="C11" s="57" t="s">
        <v>140</v>
      </c>
      <c r="D11" s="677" t="s">
        <v>141</v>
      </c>
      <c r="E11" s="7"/>
      <c r="F11" s="738" t="str">
        <f>E5</f>
        <v>CHAITEN</v>
      </c>
      <c r="G11" s="664"/>
      <c r="H11" s="7"/>
      <c r="I11" s="658" t="s">
        <v>142</v>
      </c>
      <c r="J11" s="659"/>
      <c r="K11" s="659"/>
      <c r="L11" s="7"/>
      <c r="M11" s="7"/>
      <c r="N11" s="7"/>
      <c r="O11" s="7"/>
      <c r="P11" s="7"/>
    </row>
    <row r="12" spans="1:16" s="6" customFormat="1" ht="32" customHeight="1">
      <c r="A12" s="659"/>
      <c r="B12" s="659"/>
      <c r="C12" s="58">
        <v>0.05</v>
      </c>
      <c r="D12" s="659"/>
      <c r="E12" s="7"/>
      <c r="F12" s="665"/>
      <c r="G12" s="666"/>
      <c r="H12" s="7"/>
      <c r="I12" s="59" t="s">
        <v>126</v>
      </c>
      <c r="J12" s="60" t="s">
        <v>143</v>
      </c>
      <c r="K12" s="60" t="s">
        <v>144</v>
      </c>
      <c r="L12" s="7"/>
      <c r="M12" s="7"/>
      <c r="N12" s="7"/>
      <c r="O12" s="7"/>
      <c r="P12" s="7"/>
    </row>
    <row r="13" spans="1:16" ht="22" customHeight="1" thickBot="1">
      <c r="A13" s="61" t="s">
        <v>15</v>
      </c>
      <c r="B13" s="109">
        <f>G28</f>
        <v>0</v>
      </c>
      <c r="C13" s="109">
        <f t="shared" ref="C13:C20" si="0">B13*$C$12</f>
        <v>0</v>
      </c>
      <c r="D13" s="109">
        <f t="shared" ref="D13:D20" si="1">B13+(B13*$C$12)</f>
        <v>0</v>
      </c>
      <c r="E13" s="7"/>
      <c r="F13" s="667"/>
      <c r="G13" s="668"/>
      <c r="I13" s="3"/>
      <c r="J13" s="4"/>
      <c r="K13" s="5"/>
    </row>
    <row r="14" spans="1:16" s="6" customFormat="1" ht="20" customHeight="1">
      <c r="A14" s="62" t="s">
        <v>16</v>
      </c>
      <c r="B14" s="110">
        <f>J49</f>
        <v>0</v>
      </c>
      <c r="C14" s="110">
        <f t="shared" si="0"/>
        <v>0</v>
      </c>
      <c r="D14" s="110">
        <f t="shared" si="1"/>
        <v>0</v>
      </c>
      <c r="E14" s="7"/>
      <c r="F14" s="271" t="str">
        <f t="shared" ref="F14:F19" si="2">A14</f>
        <v>2.FOOD</v>
      </c>
      <c r="G14" s="261">
        <f>G49</f>
        <v>0</v>
      </c>
      <c r="H14" s="7"/>
      <c r="I14" s="3"/>
      <c r="J14" s="4"/>
      <c r="K14" s="5"/>
      <c r="L14" s="7"/>
      <c r="M14" s="7"/>
      <c r="N14" s="7"/>
      <c r="O14" s="7"/>
      <c r="P14" s="7"/>
    </row>
    <row r="15" spans="1:16" s="6" customFormat="1" ht="20" customHeight="1">
      <c r="A15" s="63" t="s">
        <v>17</v>
      </c>
      <c r="B15" s="111">
        <f>E59</f>
        <v>0</v>
      </c>
      <c r="C15" s="111">
        <f t="shared" si="0"/>
        <v>0</v>
      </c>
      <c r="D15" s="111">
        <f t="shared" si="1"/>
        <v>0</v>
      </c>
      <c r="E15" s="7"/>
      <c r="F15" s="272" t="str">
        <f t="shared" si="2"/>
        <v>3.DRINKS</v>
      </c>
      <c r="G15" s="262">
        <f>G59</f>
        <v>0</v>
      </c>
      <c r="H15" s="7"/>
      <c r="I15" s="3"/>
      <c r="J15" s="4"/>
      <c r="K15" s="5"/>
      <c r="L15" s="7"/>
      <c r="M15" s="7"/>
      <c r="N15" s="7"/>
      <c r="O15" s="7"/>
      <c r="P15" s="7"/>
    </row>
    <row r="16" spans="1:16" s="6" customFormat="1" ht="20" customHeight="1">
      <c r="A16" s="55" t="s">
        <v>18</v>
      </c>
      <c r="B16" s="112">
        <f>$E$72</f>
        <v>0</v>
      </c>
      <c r="C16" s="112">
        <f t="shared" si="0"/>
        <v>0</v>
      </c>
      <c r="D16" s="112">
        <f t="shared" si="1"/>
        <v>0</v>
      </c>
      <c r="E16" s="7"/>
      <c r="F16" s="273" t="str">
        <f t="shared" si="2"/>
        <v>4. ACTIVITIES</v>
      </c>
      <c r="G16" s="263">
        <f>G72</f>
        <v>0</v>
      </c>
      <c r="H16" s="7"/>
      <c r="I16" s="3"/>
      <c r="J16" s="4"/>
      <c r="K16" s="5"/>
      <c r="L16" s="7"/>
      <c r="M16" s="7"/>
      <c r="N16" s="7"/>
      <c r="O16" s="7"/>
      <c r="P16" s="7"/>
    </row>
    <row r="17" spans="1:16" s="6" customFormat="1" ht="20" customHeight="1">
      <c r="A17" s="63" t="s">
        <v>19</v>
      </c>
      <c r="B17" s="111">
        <f>$E$80</f>
        <v>0</v>
      </c>
      <c r="C17" s="111">
        <f t="shared" si="0"/>
        <v>0</v>
      </c>
      <c r="D17" s="111">
        <f t="shared" si="1"/>
        <v>0</v>
      </c>
      <c r="E17" s="7"/>
      <c r="F17" s="274" t="str">
        <f t="shared" si="2"/>
        <v>5.TRANSPORT</v>
      </c>
      <c r="G17" s="174">
        <f>G80</f>
        <v>0</v>
      </c>
      <c r="H17" s="7"/>
      <c r="I17" s="3"/>
      <c r="J17" s="4"/>
      <c r="K17" s="5"/>
      <c r="L17" s="7"/>
      <c r="M17" s="7"/>
      <c r="N17" s="7"/>
      <c r="O17" s="7"/>
      <c r="P17" s="7"/>
    </row>
    <row r="18" spans="1:16" s="6" customFormat="1" ht="20" customHeight="1">
      <c r="A18" s="64" t="s">
        <v>20</v>
      </c>
      <c r="B18" s="113">
        <f>$E$86</f>
        <v>0</v>
      </c>
      <c r="C18" s="113">
        <f t="shared" si="0"/>
        <v>0</v>
      </c>
      <c r="D18" s="113">
        <f t="shared" si="1"/>
        <v>0</v>
      </c>
      <c r="E18" s="10"/>
      <c r="F18" s="275" t="str">
        <f t="shared" si="2"/>
        <v>6.EXPERIENCES</v>
      </c>
      <c r="G18" s="264">
        <f>G86</f>
        <v>0</v>
      </c>
      <c r="H18" s="7"/>
      <c r="I18" s="3"/>
      <c r="J18" s="4"/>
      <c r="K18" s="5"/>
      <c r="L18" s="7"/>
      <c r="M18" s="7"/>
      <c r="N18" s="7"/>
      <c r="O18" s="7"/>
      <c r="P18" s="7"/>
    </row>
    <row r="19" spans="1:16" s="6" customFormat="1" ht="20" customHeight="1">
      <c r="A19" s="65" t="s">
        <v>21</v>
      </c>
      <c r="B19" s="114">
        <f>$E$95</f>
        <v>0</v>
      </c>
      <c r="C19" s="114">
        <f t="shared" si="0"/>
        <v>0</v>
      </c>
      <c r="D19" s="114">
        <f t="shared" si="1"/>
        <v>0</v>
      </c>
      <c r="E19" s="7"/>
      <c r="F19" s="276" t="str">
        <f t="shared" si="2"/>
        <v>7.EXTRAS</v>
      </c>
      <c r="G19" s="151">
        <f>G95</f>
        <v>0</v>
      </c>
      <c r="H19" s="7"/>
      <c r="I19" s="3"/>
      <c r="J19" s="4"/>
      <c r="K19" s="5"/>
      <c r="L19" s="7"/>
      <c r="M19" s="7"/>
      <c r="N19" s="7"/>
      <c r="O19" s="7"/>
      <c r="P19" s="7"/>
    </row>
    <row r="20" spans="1:16" s="6" customFormat="1" ht="20" customHeight="1" thickBot="1">
      <c r="A20" s="66" t="s">
        <v>22</v>
      </c>
      <c r="B20" s="115">
        <f>$E$99</f>
        <v>0</v>
      </c>
      <c r="C20" s="115">
        <f t="shared" si="0"/>
        <v>0</v>
      </c>
      <c r="D20" s="115">
        <f t="shared" si="1"/>
        <v>0</v>
      </c>
      <c r="E20" s="7"/>
      <c r="F20" s="676" t="s">
        <v>145</v>
      </c>
      <c r="G20" s="669">
        <f>G14+G15+G16+G17+G18+G19</f>
        <v>0</v>
      </c>
      <c r="H20" s="7"/>
      <c r="I20" s="3"/>
      <c r="J20" s="4"/>
      <c r="K20" s="5"/>
      <c r="L20" s="7"/>
      <c r="M20" s="7"/>
      <c r="N20" s="7"/>
      <c r="O20" s="7"/>
      <c r="P20" s="7"/>
    </row>
    <row r="21" spans="1:16" ht="35" customHeight="1" thickBot="1">
      <c r="A21" s="67" t="s">
        <v>146</v>
      </c>
      <c r="B21" s="116">
        <f>SUM(B13:B20)</f>
        <v>0</v>
      </c>
      <c r="C21" s="116"/>
      <c r="D21" s="116">
        <f>SUM(D13:D20)</f>
        <v>0</v>
      </c>
      <c r="E21" s="51"/>
      <c r="F21" s="670"/>
      <c r="G21" s="670"/>
    </row>
    <row r="22" spans="1:16" s="8" customFormat="1" ht="11" customHeight="1" thickBot="1">
      <c r="A22" s="16"/>
      <c r="B22" s="56"/>
      <c r="C22" s="6"/>
      <c r="D22" s="7"/>
      <c r="E22" s="7"/>
      <c r="F22" s="7"/>
      <c r="G22" s="17"/>
      <c r="H22" s="7"/>
      <c r="I22" s="7"/>
      <c r="J22" s="7"/>
      <c r="K22" s="7"/>
      <c r="L22" s="7"/>
      <c r="M22" s="7"/>
      <c r="N22" s="7"/>
      <c r="O22" s="7"/>
      <c r="P22" s="7"/>
    </row>
    <row r="23" spans="1:16" ht="44" customHeight="1" thickBot="1">
      <c r="A23" s="68" t="s">
        <v>114</v>
      </c>
      <c r="B23" s="69" t="s">
        <v>52</v>
      </c>
      <c r="C23" s="69" t="s">
        <v>147</v>
      </c>
      <c r="D23" s="69" t="s">
        <v>148</v>
      </c>
      <c r="E23" s="70" t="s">
        <v>149</v>
      </c>
      <c r="F23" s="70" t="s">
        <v>150</v>
      </c>
      <c r="G23" s="70" t="s">
        <v>151</v>
      </c>
    </row>
    <row r="24" spans="1:16" ht="20" customHeight="1">
      <c r="A24" s="71" t="s">
        <v>166</v>
      </c>
      <c r="B24" s="93">
        <v>0</v>
      </c>
      <c r="C24" s="117">
        <f>288190.9</f>
        <v>288190.90000000002</v>
      </c>
      <c r="D24" s="118"/>
      <c r="E24" s="119">
        <f>(C24+D24)*$B$9*B24</f>
        <v>0</v>
      </c>
      <c r="F24" s="2">
        <v>0</v>
      </c>
      <c r="G24" s="119">
        <f>E24-(E24*F24)</f>
        <v>0</v>
      </c>
    </row>
    <row r="25" spans="1:16" ht="20" customHeight="1">
      <c r="A25" s="71" t="s">
        <v>167</v>
      </c>
      <c r="B25" s="93">
        <v>1</v>
      </c>
      <c r="C25" s="117">
        <f>288190.9</f>
        <v>288190.90000000002</v>
      </c>
      <c r="D25" s="118">
        <f>$B$6*50000</f>
        <v>100000</v>
      </c>
      <c r="E25" s="119">
        <f>(C25+D25)*$B$9*B25</f>
        <v>0</v>
      </c>
      <c r="F25" s="2">
        <v>0</v>
      </c>
      <c r="G25" s="119">
        <f>E25-(E25*F25)</f>
        <v>0</v>
      </c>
    </row>
    <row r="26" spans="1:16" ht="20" customHeight="1">
      <c r="A26" s="71" t="s">
        <v>168</v>
      </c>
      <c r="B26" s="93">
        <v>0</v>
      </c>
      <c r="C26" s="117">
        <f>259371.81</f>
        <v>259371.81</v>
      </c>
      <c r="D26" s="118"/>
      <c r="E26" s="119">
        <f>(C26+D26)*$B$9*B26</f>
        <v>0</v>
      </c>
      <c r="F26" s="2">
        <v>0</v>
      </c>
      <c r="G26" s="119">
        <f>E26-(E26*F26)</f>
        <v>0</v>
      </c>
    </row>
    <row r="27" spans="1:16" ht="20" customHeight="1" thickBot="1">
      <c r="A27" s="71" t="s">
        <v>169</v>
      </c>
      <c r="B27" s="93">
        <v>0</v>
      </c>
      <c r="C27" s="117">
        <f>259371.81</f>
        <v>259371.81</v>
      </c>
      <c r="D27" s="118">
        <v>50000</v>
      </c>
      <c r="E27" s="119">
        <f>(C27+D27)*$B$9*B27</f>
        <v>0</v>
      </c>
      <c r="F27" s="2">
        <v>0</v>
      </c>
      <c r="G27" s="119">
        <f>E27-(E27*F27)</f>
        <v>0</v>
      </c>
    </row>
    <row r="28" spans="1:16" ht="29" customHeight="1" thickBot="1">
      <c r="A28" s="672" t="s">
        <v>156</v>
      </c>
      <c r="B28" s="673"/>
      <c r="C28" s="673"/>
      <c r="D28" s="673"/>
      <c r="E28" s="72"/>
      <c r="F28" s="73"/>
      <c r="G28" s="120">
        <f>SUM(G24:G27)</f>
        <v>0</v>
      </c>
    </row>
    <row r="29" spans="1:16" s="8" customFormat="1" ht="11" customHeight="1" thickBot="1">
      <c r="A29" s="16"/>
      <c r="B29" s="56"/>
      <c r="C29" s="6"/>
      <c r="D29" s="7"/>
      <c r="E29" s="7"/>
      <c r="F29" s="7"/>
      <c r="G29" s="17"/>
      <c r="H29" s="7"/>
      <c r="I29" s="7"/>
      <c r="J29" s="7"/>
      <c r="K29" s="7"/>
      <c r="L29" s="7"/>
      <c r="M29" s="7"/>
      <c r="N29" s="7"/>
      <c r="O29" s="7"/>
      <c r="P29" s="7"/>
    </row>
    <row r="30" spans="1:16" s="10" customFormat="1" ht="40" customHeight="1" thickBot="1">
      <c r="A30" s="18" t="s">
        <v>51</v>
      </c>
      <c r="B30" s="159" t="s">
        <v>52</v>
      </c>
      <c r="C30" s="160" t="s">
        <v>53</v>
      </c>
      <c r="D30" s="153" t="s">
        <v>54</v>
      </c>
      <c r="E30" s="149" t="s">
        <v>157</v>
      </c>
      <c r="F30" s="103" t="s">
        <v>158</v>
      </c>
      <c r="G30" s="147" t="s">
        <v>159</v>
      </c>
    </row>
    <row r="31" spans="1:16" ht="20" customHeight="1" thickBot="1">
      <c r="A31" s="154" t="str">
        <f>'BASE PAX'!A6</f>
        <v>BREAKFAST</v>
      </c>
      <c r="B31" s="284">
        <f>(B5*B9*'BASE PAX'!G6)+('BASE PAX'!H6*B6*B9)</f>
        <v>0</v>
      </c>
      <c r="C31" s="121"/>
      <c r="D31" s="144"/>
      <c r="E31" s="283"/>
      <c r="F31" s="122">
        <f t="shared" ref="F31:F46" si="3">B31*C31</f>
        <v>0</v>
      </c>
      <c r="G31" s="325">
        <f>0.2*B31</f>
        <v>0</v>
      </c>
      <c r="H31" s="351" t="str">
        <f>'BASE PAX'!A6</f>
        <v>BREAKFAST</v>
      </c>
      <c r="I31" s="357">
        <f>B31</f>
        <v>0</v>
      </c>
    </row>
    <row r="32" spans="1:16" ht="20" customHeight="1">
      <c r="A32" s="155" t="str">
        <f>'BASE PAX'!A7</f>
        <v>LUNCH 1</v>
      </c>
      <c r="B32" s="91">
        <f>($B$5+($B$6*0.5))*'BASE PAX'!B7</f>
        <v>0</v>
      </c>
      <c r="C32" s="123">
        <f>'BASE PAX'!C7</f>
        <v>40000</v>
      </c>
      <c r="D32" s="125">
        <f>'BASE PAX'!D7</f>
        <v>48000</v>
      </c>
      <c r="E32" s="151">
        <f t="shared" ref="E32:E46" si="4">D32*B32</f>
        <v>0</v>
      </c>
      <c r="F32" s="124">
        <f t="shared" si="3"/>
        <v>0</v>
      </c>
      <c r="G32" s="146">
        <f t="shared" ref="G32:G46" si="5">E32-F32</f>
        <v>0</v>
      </c>
      <c r="H32" s="292"/>
      <c r="I32" s="295"/>
    </row>
    <row r="33" spans="1:11" ht="20" customHeight="1">
      <c r="A33" s="155" t="str">
        <f>'BASE PAX'!A8</f>
        <v>LUNCH 2</v>
      </c>
      <c r="B33" s="91">
        <f>($B$5+($B$6*0.5))*'BASE PAX'!B8</f>
        <v>0</v>
      </c>
      <c r="C33" s="123">
        <f>'BASE PAX'!C8</f>
        <v>40000</v>
      </c>
      <c r="D33" s="125">
        <f>'BASE PAX'!D8</f>
        <v>48000</v>
      </c>
      <c r="E33" s="151">
        <f t="shared" si="4"/>
        <v>0</v>
      </c>
      <c r="F33" s="124">
        <f t="shared" si="3"/>
        <v>0</v>
      </c>
      <c r="G33" s="146">
        <f t="shared" si="5"/>
        <v>0</v>
      </c>
      <c r="H33" s="292"/>
      <c r="I33" s="295"/>
    </row>
    <row r="34" spans="1:11" ht="20" customHeight="1">
      <c r="A34" s="155" t="str">
        <f>'BASE PAX'!A9</f>
        <v>LUNCH 3</v>
      </c>
      <c r="B34" s="91">
        <f>($B$5+($B$6*0.5))*'BASE PAX'!B9</f>
        <v>0</v>
      </c>
      <c r="C34" s="123">
        <f>'BASE PAX'!C9</f>
        <v>40000</v>
      </c>
      <c r="D34" s="125">
        <f>'BASE PAX'!D9</f>
        <v>48000</v>
      </c>
      <c r="E34" s="151">
        <f t="shared" si="4"/>
        <v>0</v>
      </c>
      <c r="F34" s="124">
        <f t="shared" si="3"/>
        <v>0</v>
      </c>
      <c r="G34" s="146">
        <f t="shared" si="5"/>
        <v>0</v>
      </c>
      <c r="H34" s="292"/>
      <c r="I34" s="295"/>
    </row>
    <row r="35" spans="1:11" ht="20" customHeight="1">
      <c r="A35" s="155" t="str">
        <f>'BASE PAX'!A10</f>
        <v>LUNCH 4</v>
      </c>
      <c r="B35" s="91">
        <f>($B$5+($B$6*0.5))*'BASE PAX'!B10</f>
        <v>0</v>
      </c>
      <c r="C35" s="123">
        <f>'BASE PAX'!C10</f>
        <v>45000</v>
      </c>
      <c r="D35" s="125">
        <f>'BASE PAX'!D10</f>
        <v>54000</v>
      </c>
      <c r="E35" s="151">
        <f t="shared" si="4"/>
        <v>0</v>
      </c>
      <c r="F35" s="124">
        <f t="shared" si="3"/>
        <v>0</v>
      </c>
      <c r="G35" s="146">
        <f t="shared" si="5"/>
        <v>0</v>
      </c>
      <c r="H35" s="292"/>
      <c r="I35" s="295"/>
    </row>
    <row r="36" spans="1:11" ht="20" customHeight="1">
      <c r="A36" s="155" t="str">
        <f>'BASE PAX'!A11</f>
        <v>LUNCH 5</v>
      </c>
      <c r="B36" s="91">
        <f>($B$5+($B$6*0.6))*'BASE PAX'!B11</f>
        <v>0</v>
      </c>
      <c r="C36" s="123">
        <f>'BASE PAX'!C11</f>
        <v>50000</v>
      </c>
      <c r="D36" s="125">
        <f>'BASE PAX'!D11</f>
        <v>60000</v>
      </c>
      <c r="E36" s="151">
        <f t="shared" si="4"/>
        <v>0</v>
      </c>
      <c r="F36" s="124">
        <f t="shared" si="3"/>
        <v>0</v>
      </c>
      <c r="G36" s="146">
        <f t="shared" si="5"/>
        <v>0</v>
      </c>
      <c r="H36" s="292"/>
      <c r="I36" s="295"/>
    </row>
    <row r="37" spans="1:11" ht="20" customHeight="1">
      <c r="A37" s="155" t="str">
        <f>'BASE PAX'!A12</f>
        <v>LUNCH 6</v>
      </c>
      <c r="B37" s="91">
        <f>($B$5+($B$6*0.5))*'BASE PAX'!B12</f>
        <v>0</v>
      </c>
      <c r="C37" s="123">
        <f>'BASE PAX'!C12</f>
        <v>0</v>
      </c>
      <c r="D37" s="125">
        <f>'BASE PAX'!D12</f>
        <v>0</v>
      </c>
      <c r="E37" s="151">
        <f t="shared" si="4"/>
        <v>0</v>
      </c>
      <c r="F37" s="124">
        <f t="shared" si="3"/>
        <v>0</v>
      </c>
      <c r="G37" s="146">
        <f t="shared" si="5"/>
        <v>0</v>
      </c>
      <c r="H37" s="292"/>
      <c r="I37" s="295"/>
    </row>
    <row r="38" spans="1:11" ht="20" customHeight="1">
      <c r="A38" s="155" t="str">
        <f>'BASE PAX'!A13</f>
        <v>LUNCH 7</v>
      </c>
      <c r="B38" s="91">
        <f>($B$5+($B$6*0.5))*'BASE PAX'!B13</f>
        <v>0</v>
      </c>
      <c r="C38" s="123">
        <f>'BASE PAX'!C13</f>
        <v>5000</v>
      </c>
      <c r="D38" s="125">
        <f>'BASE PAX'!D13</f>
        <v>6000</v>
      </c>
      <c r="E38" s="151">
        <f t="shared" si="4"/>
        <v>0</v>
      </c>
      <c r="F38" s="124">
        <f t="shared" si="3"/>
        <v>0</v>
      </c>
      <c r="G38" s="146">
        <f t="shared" si="5"/>
        <v>0</v>
      </c>
      <c r="H38" s="292"/>
      <c r="I38" s="295"/>
    </row>
    <row r="39" spans="1:11" ht="20" customHeight="1">
      <c r="A39" s="156" t="str">
        <f>'BASE PAX'!A14</f>
        <v>SNACKS</v>
      </c>
      <c r="B39" s="92">
        <f>($B$5+$B$6)*'BASE PAX'!B14</f>
        <v>0</v>
      </c>
      <c r="C39" s="125">
        <f>'BASE PAX'!C14</f>
        <v>8000</v>
      </c>
      <c r="D39" s="145">
        <f>'BASE PAX'!D14</f>
        <v>9600</v>
      </c>
      <c r="E39" s="150">
        <f t="shared" si="4"/>
        <v>0</v>
      </c>
      <c r="F39" s="122">
        <f t="shared" si="3"/>
        <v>0</v>
      </c>
      <c r="G39" s="146">
        <f t="shared" si="5"/>
        <v>0</v>
      </c>
      <c r="H39" s="292"/>
      <c r="I39" s="295"/>
    </row>
    <row r="40" spans="1:11" ht="20" customHeight="1">
      <c r="A40" s="155" t="str">
        <f>'BASE PAX'!A15</f>
        <v>DINNER 1</v>
      </c>
      <c r="B40" s="91">
        <f>($B$5+($B$6*0.6))*'BASE PAX'!B15</f>
        <v>0</v>
      </c>
      <c r="C40" s="123">
        <f>'BASE PAX'!C15</f>
        <v>70000</v>
      </c>
      <c r="D40" s="125">
        <f>'BASE PAX'!D15</f>
        <v>84000</v>
      </c>
      <c r="E40" s="151">
        <f t="shared" si="4"/>
        <v>0</v>
      </c>
      <c r="F40" s="124">
        <f t="shared" si="3"/>
        <v>0</v>
      </c>
      <c r="G40" s="146">
        <f t="shared" si="5"/>
        <v>0</v>
      </c>
      <c r="H40" s="292"/>
      <c r="I40" s="295"/>
    </row>
    <row r="41" spans="1:11" ht="20" customHeight="1">
      <c r="A41" s="155" t="str">
        <f>'BASE PAX'!A16</f>
        <v>DINNER 2</v>
      </c>
      <c r="B41" s="91">
        <f>($B$5+($B$6*0.6))*'BASE PAX'!B16</f>
        <v>0</v>
      </c>
      <c r="C41" s="123">
        <f>'BASE PAX'!C16</f>
        <v>25000</v>
      </c>
      <c r="D41" s="125">
        <f>'BASE PAX'!D16</f>
        <v>30000</v>
      </c>
      <c r="E41" s="151">
        <f t="shared" si="4"/>
        <v>0</v>
      </c>
      <c r="F41" s="124">
        <f t="shared" si="3"/>
        <v>0</v>
      </c>
      <c r="G41" s="146">
        <f t="shared" si="5"/>
        <v>0</v>
      </c>
      <c r="H41" s="292"/>
      <c r="I41" s="295"/>
    </row>
    <row r="42" spans="1:11" ht="20" customHeight="1">
      <c r="A42" s="155" t="str">
        <f>'BASE PAX'!A17</f>
        <v>DINNER 3</v>
      </c>
      <c r="B42" s="91">
        <f>($B$5+($B$6*0.6))*'BASE PAX'!B17</f>
        <v>0</v>
      </c>
      <c r="C42" s="123">
        <f>'BASE PAX'!C17</f>
        <v>50000</v>
      </c>
      <c r="D42" s="125">
        <f>'BASE PAX'!D17</f>
        <v>60000</v>
      </c>
      <c r="E42" s="151">
        <f t="shared" si="4"/>
        <v>0</v>
      </c>
      <c r="F42" s="124">
        <f t="shared" si="3"/>
        <v>0</v>
      </c>
      <c r="G42" s="146">
        <f t="shared" si="5"/>
        <v>0</v>
      </c>
      <c r="H42" s="292"/>
      <c r="I42" s="295"/>
    </row>
    <row r="43" spans="1:11" ht="20" customHeight="1">
      <c r="A43" s="155" t="str">
        <f>'BASE PAX'!A18</f>
        <v>DINNER 4</v>
      </c>
      <c r="B43" s="91">
        <f>($B$5+($B$6*0.5))*'BASE PAX'!B18</f>
        <v>0</v>
      </c>
      <c r="C43" s="123">
        <f>'BASE PAX'!C18</f>
        <v>65000</v>
      </c>
      <c r="D43" s="125">
        <f>'BASE PAX'!D18</f>
        <v>78000</v>
      </c>
      <c r="E43" s="151">
        <f t="shared" si="4"/>
        <v>0</v>
      </c>
      <c r="F43" s="124">
        <f t="shared" si="3"/>
        <v>0</v>
      </c>
      <c r="G43" s="146">
        <f t="shared" si="5"/>
        <v>0</v>
      </c>
      <c r="H43" s="292"/>
      <c r="I43" s="295"/>
    </row>
    <row r="44" spans="1:11" ht="20" customHeight="1">
      <c r="A44" s="155" t="str">
        <f>'BASE PAX'!A19</f>
        <v>DINNER 5</v>
      </c>
      <c r="B44" s="91">
        <f>($B$5+($B$6*0.6))*'BASE PAX'!B19</f>
        <v>0</v>
      </c>
      <c r="C44" s="123">
        <f>'BASE PAX'!C19</f>
        <v>75000</v>
      </c>
      <c r="D44" s="125">
        <f>'BASE PAX'!D19</f>
        <v>90000</v>
      </c>
      <c r="E44" s="151">
        <f t="shared" si="4"/>
        <v>0</v>
      </c>
      <c r="F44" s="124">
        <f t="shared" si="3"/>
        <v>0</v>
      </c>
      <c r="G44" s="146">
        <f t="shared" si="5"/>
        <v>0</v>
      </c>
      <c r="H44" s="292"/>
      <c r="I44" s="295"/>
    </row>
    <row r="45" spans="1:11" ht="20" customHeight="1">
      <c r="A45" s="155" t="str">
        <f>'BASE PAX'!A20</f>
        <v>DINNER 6</v>
      </c>
      <c r="B45" s="91">
        <f>($B$5+($B$6*0.5))*'BASE PAX'!B20</f>
        <v>0</v>
      </c>
      <c r="C45" s="123">
        <f>'BASE PAX'!C20</f>
        <v>0</v>
      </c>
      <c r="D45" s="125">
        <f>'BASE PAX'!D20</f>
        <v>0</v>
      </c>
      <c r="E45" s="151">
        <f t="shared" si="4"/>
        <v>0</v>
      </c>
      <c r="F45" s="124">
        <f t="shared" si="3"/>
        <v>0</v>
      </c>
      <c r="G45" s="146">
        <f t="shared" si="5"/>
        <v>0</v>
      </c>
      <c r="H45" s="292"/>
      <c r="I45" s="295"/>
    </row>
    <row r="46" spans="1:11" ht="20" customHeight="1" thickBot="1">
      <c r="A46" s="155" t="str">
        <f>'BASE PAX'!A21</f>
        <v>DINNER 7</v>
      </c>
      <c r="B46" s="91">
        <f>($B$5+($B$6*0.6))*'BASE PAX'!B21</f>
        <v>0</v>
      </c>
      <c r="C46" s="123">
        <f>'BASE PAX'!C21</f>
        <v>75000</v>
      </c>
      <c r="D46" s="125">
        <f>'BASE PAX'!D21</f>
        <v>90000</v>
      </c>
      <c r="E46" s="151">
        <f t="shared" si="4"/>
        <v>0</v>
      </c>
      <c r="F46" s="124">
        <f t="shared" si="3"/>
        <v>0</v>
      </c>
      <c r="G46" s="146">
        <f t="shared" si="5"/>
        <v>0</v>
      </c>
      <c r="H46" s="292"/>
      <c r="I46" s="295"/>
    </row>
    <row r="47" spans="1:11" ht="20" customHeight="1">
      <c r="A47" s="155" t="str">
        <f>'BASE PAX'!A22</f>
        <v>QUANT. TOTAL | PADRAO ALMOÇO</v>
      </c>
      <c r="B47" s="91">
        <f>'BASE PAX'!B22</f>
        <v>0</v>
      </c>
      <c r="C47" s="123"/>
      <c r="D47" s="125"/>
      <c r="E47" s="151"/>
      <c r="F47" s="124"/>
      <c r="G47" s="325">
        <f>0.2*I47</f>
        <v>0</v>
      </c>
      <c r="H47" s="337" t="str">
        <f>'BASE PAX'!A22</f>
        <v>QUANT. TOTAL | PADRAO ALMOÇO</v>
      </c>
      <c r="I47" s="350">
        <f>(B5*B47*'BASE PAX'!G22)+(B6*B47*'BASE PAX'!H22)</f>
        <v>0</v>
      </c>
      <c r="J47" s="328"/>
      <c r="K47" s="329"/>
    </row>
    <row r="48" spans="1:11" ht="20" customHeight="1" thickBot="1">
      <c r="A48" s="163" t="str">
        <f>'BASE PAX'!A23</f>
        <v>QUANT. TOTAL | PADRAO JANTAR</v>
      </c>
      <c r="B48" s="171">
        <f>'BASE PAX'!B23</f>
        <v>0</v>
      </c>
      <c r="C48" s="165"/>
      <c r="D48" s="166"/>
      <c r="E48" s="167"/>
      <c r="F48" s="168"/>
      <c r="G48" s="326">
        <f>0.2*I48</f>
        <v>0</v>
      </c>
      <c r="H48" s="346" t="str">
        <f>'BASE PAX'!A23</f>
        <v>QUANT. TOTAL | PADRAO JANTAR</v>
      </c>
      <c r="I48" s="336">
        <f>(B5*B48*'BASE PAX'!G23)+(B6*B48*'BASE PAX'!H23)</f>
        <v>0</v>
      </c>
      <c r="J48" s="330"/>
      <c r="K48" s="331"/>
    </row>
    <row r="49" spans="1:16" ht="29" customHeight="1" thickBot="1">
      <c r="A49" s="161" t="s">
        <v>72</v>
      </c>
      <c r="B49" s="157"/>
      <c r="C49" s="158"/>
      <c r="D49" s="152"/>
      <c r="E49" s="300">
        <f>SUM(E31:E48)</f>
        <v>0</v>
      </c>
      <c r="F49" s="104">
        <f>SUM(F31:F48)</f>
        <v>0</v>
      </c>
      <c r="G49" s="327">
        <f>SUM(G31:G48)</f>
        <v>0</v>
      </c>
      <c r="H49" s="339" t="s">
        <v>55</v>
      </c>
      <c r="I49" s="343">
        <f>I31+I47+I48</f>
        <v>0</v>
      </c>
      <c r="J49" s="361">
        <f>I49+E49</f>
        <v>0</v>
      </c>
      <c r="K49" s="345" t="s">
        <v>160</v>
      </c>
    </row>
    <row r="50" spans="1:16" s="8" customFormat="1" ht="11" customHeight="1" thickBot="1">
      <c r="A50" s="16"/>
      <c r="B50" s="56"/>
      <c r="C50" s="105"/>
      <c r="D50" s="102"/>
      <c r="E50" s="102"/>
      <c r="F50" s="7"/>
      <c r="G50" s="17"/>
      <c r="H50" s="7"/>
      <c r="I50" s="295"/>
      <c r="J50" s="7"/>
      <c r="K50" s="7"/>
      <c r="L50" s="7"/>
      <c r="M50" s="7"/>
      <c r="N50" s="7"/>
      <c r="O50" s="7"/>
      <c r="P50" s="7"/>
    </row>
    <row r="51" spans="1:16" ht="34" customHeight="1" thickBot="1">
      <c r="A51" s="21" t="s">
        <v>161</v>
      </c>
      <c r="B51" s="207" t="s">
        <v>52</v>
      </c>
      <c r="C51" s="208" t="s">
        <v>53</v>
      </c>
      <c r="D51" s="209" t="s">
        <v>54</v>
      </c>
      <c r="E51" s="172" t="s">
        <v>55</v>
      </c>
      <c r="F51" s="142" t="s">
        <v>158</v>
      </c>
      <c r="G51" s="182" t="s">
        <v>159</v>
      </c>
    </row>
    <row r="52" spans="1:16" ht="20" customHeight="1">
      <c r="A52" s="76" t="str">
        <f>'BASE PAX'!A27</f>
        <v>SUCOS</v>
      </c>
      <c r="B52" s="205">
        <f>'BASE PAX'!B27</f>
        <v>0</v>
      </c>
      <c r="C52" s="193">
        <f>'BASE PAX'!C27</f>
        <v>0</v>
      </c>
      <c r="D52" s="206">
        <f t="shared" ref="D52:D58" si="6">(C52*0.2)+C52</f>
        <v>0</v>
      </c>
      <c r="E52" s="174">
        <f t="shared" ref="E52:E58" si="7">D52*B52</f>
        <v>0</v>
      </c>
      <c r="F52" s="173">
        <f t="shared" ref="F52:F58" si="8">B52*C52</f>
        <v>0</v>
      </c>
      <c r="G52" s="183">
        <f t="shared" ref="G52:G59" si="9">E52-F52</f>
        <v>0</v>
      </c>
    </row>
    <row r="53" spans="1:16" ht="20" customHeight="1">
      <c r="A53" s="76" t="str">
        <f>'BASE PAX'!A28</f>
        <v>SUCOS</v>
      </c>
      <c r="B53" s="205">
        <f>'BASE PAX'!B28</f>
        <v>0</v>
      </c>
      <c r="C53" s="175">
        <f>'BASE PAX'!C28</f>
        <v>0</v>
      </c>
      <c r="D53" s="176">
        <f t="shared" si="6"/>
        <v>0</v>
      </c>
      <c r="E53" s="174">
        <f t="shared" si="7"/>
        <v>0</v>
      </c>
      <c r="F53" s="173">
        <f t="shared" si="8"/>
        <v>0</v>
      </c>
      <c r="G53" s="183">
        <f t="shared" si="9"/>
        <v>0</v>
      </c>
    </row>
    <row r="54" spans="1:16" ht="20" customHeight="1">
      <c r="A54" s="87" t="str">
        <f>'BASE PAX'!A29</f>
        <v>CERVEJAS</v>
      </c>
      <c r="B54" s="205">
        <f>'BASE PAX'!B29</f>
        <v>0</v>
      </c>
      <c r="C54" s="175">
        <f>'BASE PAX'!C29</f>
        <v>2000</v>
      </c>
      <c r="D54" s="176">
        <f t="shared" si="6"/>
        <v>2400</v>
      </c>
      <c r="E54" s="174">
        <f t="shared" si="7"/>
        <v>0</v>
      </c>
      <c r="F54" s="173">
        <f t="shared" si="8"/>
        <v>0</v>
      </c>
      <c r="G54" s="183">
        <f t="shared" si="9"/>
        <v>0</v>
      </c>
    </row>
    <row r="55" spans="1:16" ht="20" customHeight="1">
      <c r="A55" s="87" t="str">
        <f>'BASE PAX'!A30</f>
        <v>VINHOS</v>
      </c>
      <c r="B55" s="205">
        <f>'BASE PAX'!B30</f>
        <v>0</v>
      </c>
      <c r="C55" s="175">
        <f>'BASE PAX'!C30</f>
        <v>8000</v>
      </c>
      <c r="D55" s="176">
        <f t="shared" si="6"/>
        <v>9600</v>
      </c>
      <c r="E55" s="174">
        <f t="shared" si="7"/>
        <v>0</v>
      </c>
      <c r="F55" s="173">
        <f t="shared" si="8"/>
        <v>0</v>
      </c>
      <c r="G55" s="183">
        <f t="shared" si="9"/>
        <v>0</v>
      </c>
    </row>
    <row r="56" spans="1:16" ht="20" customHeight="1">
      <c r="A56" s="87" t="str">
        <f>'BASE PAX'!A31</f>
        <v>DRINKS</v>
      </c>
      <c r="B56" s="205">
        <f>'BASE PAX'!B31</f>
        <v>0</v>
      </c>
      <c r="C56" s="175">
        <f>'BASE PAX'!C31</f>
        <v>15000</v>
      </c>
      <c r="D56" s="176">
        <f t="shared" si="6"/>
        <v>18000</v>
      </c>
      <c r="E56" s="174">
        <f t="shared" si="7"/>
        <v>0</v>
      </c>
      <c r="F56" s="173">
        <f t="shared" si="8"/>
        <v>0</v>
      </c>
      <c r="G56" s="183">
        <f t="shared" si="9"/>
        <v>0</v>
      </c>
    </row>
    <row r="57" spans="1:16" ht="20" customHeight="1">
      <c r="A57" s="87" t="str">
        <f>'BASE PAX'!A32</f>
        <v>COOLER</v>
      </c>
      <c r="B57" s="205">
        <f>'BASE PAX'!B32</f>
        <v>0</v>
      </c>
      <c r="C57" s="175">
        <f>'BASE PAX'!C32</f>
        <v>5000</v>
      </c>
      <c r="D57" s="176">
        <f t="shared" si="6"/>
        <v>6000</v>
      </c>
      <c r="E57" s="174">
        <f t="shared" si="7"/>
        <v>0</v>
      </c>
      <c r="F57" s="173">
        <f t="shared" si="8"/>
        <v>0</v>
      </c>
      <c r="G57" s="183">
        <f t="shared" si="9"/>
        <v>0</v>
      </c>
    </row>
    <row r="58" spans="1:16" ht="20" customHeight="1" thickBot="1">
      <c r="A58" s="180">
        <f>'BASE PAX'!A33</f>
        <v>0</v>
      </c>
      <c r="B58" s="205">
        <f>'BASE PAX'!B33</f>
        <v>0</v>
      </c>
      <c r="C58" s="178">
        <f>'BASE PAX'!C33</f>
        <v>0</v>
      </c>
      <c r="D58" s="179">
        <f t="shared" si="6"/>
        <v>0</v>
      </c>
      <c r="E58" s="184">
        <f t="shared" si="7"/>
        <v>0</v>
      </c>
      <c r="F58" s="185">
        <f t="shared" si="8"/>
        <v>0</v>
      </c>
      <c r="G58" s="186">
        <f t="shared" si="9"/>
        <v>0</v>
      </c>
    </row>
    <row r="59" spans="1:16" ht="48" customHeight="1" thickBot="1">
      <c r="A59" s="21" t="s">
        <v>79</v>
      </c>
      <c r="B59" s="77"/>
      <c r="C59" s="126"/>
      <c r="D59" s="181"/>
      <c r="E59" s="127">
        <f>SUM(E52:E58)</f>
        <v>0</v>
      </c>
      <c r="F59" s="188">
        <f>SUM(F52:F58)</f>
        <v>0</v>
      </c>
      <c r="G59" s="189">
        <f t="shared" si="9"/>
        <v>0</v>
      </c>
    </row>
    <row r="60" spans="1:16" s="8" customFormat="1" ht="11" customHeight="1" thickBot="1">
      <c r="A60" s="16"/>
      <c r="B60" s="56"/>
      <c r="C60" s="105"/>
      <c r="D60" s="102"/>
      <c r="E60" s="102"/>
      <c r="F60" s="7"/>
      <c r="G60" s="17"/>
      <c r="H60" s="7"/>
      <c r="I60" s="7"/>
      <c r="J60" s="7"/>
      <c r="K60" s="7"/>
      <c r="L60" s="7"/>
      <c r="M60" s="7"/>
      <c r="N60" s="7"/>
      <c r="O60" s="7"/>
      <c r="P60" s="7"/>
    </row>
    <row r="61" spans="1:16" s="10" customFormat="1" ht="42" customHeight="1" thickBot="1">
      <c r="A61" s="226" t="s">
        <v>18</v>
      </c>
      <c r="B61" s="227" t="s">
        <v>52</v>
      </c>
      <c r="C61" s="228" t="s">
        <v>53</v>
      </c>
      <c r="D61" s="229" t="s">
        <v>54</v>
      </c>
      <c r="E61" s="229" t="s">
        <v>55</v>
      </c>
      <c r="F61" s="228" t="s">
        <v>158</v>
      </c>
      <c r="G61" s="230" t="s">
        <v>159</v>
      </c>
    </row>
    <row r="62" spans="1:16" ht="20" customHeight="1">
      <c r="A62" s="223" t="str">
        <f>'BASE PAX'!A37</f>
        <v>HOTTUBE</v>
      </c>
      <c r="B62" s="224">
        <f>'BASE PAX'!B37</f>
        <v>0</v>
      </c>
      <c r="C62" s="195">
        <f>'BASE PAX'!C37</f>
        <v>12000</v>
      </c>
      <c r="D62" s="225">
        <f t="shared" ref="D62:D71" si="10">C62*0.2+C62</f>
        <v>14400</v>
      </c>
      <c r="E62" s="225">
        <f t="shared" ref="E62:E71" si="11">D62*B62</f>
        <v>0</v>
      </c>
      <c r="F62" s="195">
        <f t="shared" ref="F62:F72" si="12">B62*C62</f>
        <v>0</v>
      </c>
      <c r="G62" s="194">
        <f t="shared" ref="G62:G72" si="13">E62-F62</f>
        <v>0</v>
      </c>
    </row>
    <row r="63" spans="1:16" ht="20" customHeight="1">
      <c r="A63" s="219" t="str">
        <f>'BASE PAX'!A38</f>
        <v>TREKKING 1/2 DAY</v>
      </c>
      <c r="B63" s="224">
        <f>'BASE PAX'!B38</f>
        <v>0</v>
      </c>
      <c r="C63" s="196">
        <f>'BASE PAX'!C38</f>
        <v>60000</v>
      </c>
      <c r="D63" s="220">
        <f t="shared" si="10"/>
        <v>72000</v>
      </c>
      <c r="E63" s="220">
        <f t="shared" si="11"/>
        <v>0</v>
      </c>
      <c r="F63" s="196">
        <f t="shared" si="12"/>
        <v>0</v>
      </c>
      <c r="G63" s="190">
        <f t="shared" si="13"/>
        <v>0</v>
      </c>
    </row>
    <row r="64" spans="1:16" ht="20" customHeight="1">
      <c r="A64" s="219" t="str">
        <f>'BASE PAX'!A39</f>
        <v>TREKKING FUK DAY</v>
      </c>
      <c r="B64" s="224">
        <f>'BASE PAX'!B39</f>
        <v>0</v>
      </c>
      <c r="C64" s="196">
        <f>'BASE PAX'!C39</f>
        <v>90000</v>
      </c>
      <c r="D64" s="220">
        <f t="shared" si="10"/>
        <v>108000</v>
      </c>
      <c r="E64" s="220">
        <f t="shared" si="11"/>
        <v>0</v>
      </c>
      <c r="F64" s="196">
        <f t="shared" si="12"/>
        <v>0</v>
      </c>
      <c r="G64" s="190">
        <f t="shared" si="13"/>
        <v>0</v>
      </c>
    </row>
    <row r="65" spans="1:16" ht="20" customHeight="1">
      <c r="A65" s="219" t="str">
        <f>'BASE PAX'!A40</f>
        <v>FLOTADA FAMILIAR</v>
      </c>
      <c r="B65" s="224">
        <f>'BASE PAX'!B40</f>
        <v>0</v>
      </c>
      <c r="C65" s="196">
        <f>'BASE PAX'!C40</f>
        <v>60000</v>
      </c>
      <c r="D65" s="220">
        <f t="shared" si="10"/>
        <v>72000</v>
      </c>
      <c r="E65" s="220">
        <f t="shared" si="11"/>
        <v>0</v>
      </c>
      <c r="F65" s="196">
        <f t="shared" si="12"/>
        <v>0</v>
      </c>
      <c r="G65" s="190">
        <f t="shared" si="13"/>
        <v>0</v>
      </c>
    </row>
    <row r="66" spans="1:16" ht="20" customHeight="1">
      <c r="A66" s="219" t="str">
        <f>'BASE PAX'!A41</f>
        <v>RAFTING 1/2 DAY</v>
      </c>
      <c r="B66" s="224">
        <f>'BASE PAX'!B41</f>
        <v>0</v>
      </c>
      <c r="C66" s="196">
        <f>'BASE PAX'!C41</f>
        <v>75000</v>
      </c>
      <c r="D66" s="220">
        <f t="shared" si="10"/>
        <v>90000</v>
      </c>
      <c r="E66" s="220">
        <f t="shared" si="11"/>
        <v>0</v>
      </c>
      <c r="F66" s="196">
        <f t="shared" si="12"/>
        <v>0</v>
      </c>
      <c r="G66" s="190">
        <f t="shared" si="13"/>
        <v>0</v>
      </c>
    </row>
    <row r="67" spans="1:16" ht="20" customHeight="1">
      <c r="A67" s="219" t="str">
        <f>'BASE PAX'!A42</f>
        <v>RAFTING FULL DAY</v>
      </c>
      <c r="B67" s="224">
        <f>'BASE PAX'!B42</f>
        <v>0</v>
      </c>
      <c r="C67" s="196">
        <f>'BASE PAX'!C42</f>
        <v>110000</v>
      </c>
      <c r="D67" s="220">
        <f t="shared" si="10"/>
        <v>132000</v>
      </c>
      <c r="E67" s="220">
        <f t="shared" si="11"/>
        <v>0</v>
      </c>
      <c r="F67" s="196">
        <f t="shared" si="12"/>
        <v>0</v>
      </c>
      <c r="G67" s="190">
        <f t="shared" si="13"/>
        <v>0</v>
      </c>
    </row>
    <row r="68" spans="1:16" ht="20" customHeight="1">
      <c r="A68" s="219" t="str">
        <f>'BASE PAX'!A43</f>
        <v>CABALGADA 1/2 DAy</v>
      </c>
      <c r="B68" s="224">
        <f>'BASE PAX'!B43</f>
        <v>0</v>
      </c>
      <c r="C68" s="196">
        <f>'BASE PAX'!C43</f>
        <v>90000</v>
      </c>
      <c r="D68" s="220">
        <f t="shared" si="10"/>
        <v>108000</v>
      </c>
      <c r="E68" s="220">
        <f t="shared" si="11"/>
        <v>0</v>
      </c>
      <c r="F68" s="196">
        <f t="shared" si="12"/>
        <v>0</v>
      </c>
      <c r="G68" s="190">
        <f t="shared" si="13"/>
        <v>0</v>
      </c>
    </row>
    <row r="69" spans="1:16" ht="20" customHeight="1">
      <c r="A69" s="219" t="str">
        <f>'BASE PAX'!A44</f>
        <v>CABALGADA FULL DAY</v>
      </c>
      <c r="B69" s="224">
        <f>'BASE PAX'!B44</f>
        <v>0</v>
      </c>
      <c r="C69" s="196">
        <f>'BASE PAX'!C44</f>
        <v>140000</v>
      </c>
      <c r="D69" s="220">
        <f t="shared" si="10"/>
        <v>168000</v>
      </c>
      <c r="E69" s="220">
        <f t="shared" si="11"/>
        <v>0</v>
      </c>
      <c r="F69" s="196">
        <f t="shared" si="12"/>
        <v>0</v>
      </c>
      <c r="G69" s="190">
        <f t="shared" si="13"/>
        <v>0</v>
      </c>
    </row>
    <row r="70" spans="1:16" ht="20" customHeight="1">
      <c r="A70" s="219" t="str">
        <f>'BASE PAX'!A45</f>
        <v>LANCHA YELCHO</v>
      </c>
      <c r="B70" s="224">
        <f>'BASE PAX'!B45</f>
        <v>0</v>
      </c>
      <c r="C70" s="196">
        <f>'BASE PAX'!C45</f>
        <v>120000</v>
      </c>
      <c r="D70" s="220">
        <f t="shared" si="10"/>
        <v>144000</v>
      </c>
      <c r="E70" s="220">
        <f t="shared" si="11"/>
        <v>0</v>
      </c>
      <c r="F70" s="196">
        <f t="shared" si="12"/>
        <v>0</v>
      </c>
      <c r="G70" s="190">
        <f t="shared" si="13"/>
        <v>0</v>
      </c>
    </row>
    <row r="71" spans="1:16" ht="20" customHeight="1" thickBot="1">
      <c r="A71" s="221" t="str">
        <f>'BASE PAX'!A46</f>
        <v>RECREACAO INFANTIL 3HS</v>
      </c>
      <c r="B71" s="224">
        <f>'BASE PAX'!B46</f>
        <v>0</v>
      </c>
      <c r="C71" s="197">
        <f>'BASE PAX'!C46</f>
        <v>30000</v>
      </c>
      <c r="D71" s="220">
        <f t="shared" si="10"/>
        <v>36000</v>
      </c>
      <c r="E71" s="222">
        <f t="shared" si="11"/>
        <v>0</v>
      </c>
      <c r="F71" s="197">
        <f t="shared" si="12"/>
        <v>0</v>
      </c>
      <c r="G71" s="192">
        <f t="shared" si="13"/>
        <v>0</v>
      </c>
    </row>
    <row r="72" spans="1:16" ht="48" customHeight="1" thickBot="1">
      <c r="A72" s="22" t="s">
        <v>84</v>
      </c>
      <c r="B72" s="79"/>
      <c r="C72" s="128"/>
      <c r="D72" s="128"/>
      <c r="E72" s="198">
        <f>SUM(E62:E71)</f>
        <v>0</v>
      </c>
      <c r="F72" s="204">
        <f t="shared" si="12"/>
        <v>0</v>
      </c>
      <c r="G72" s="203">
        <f t="shared" si="13"/>
        <v>0</v>
      </c>
    </row>
    <row r="73" spans="1:16" ht="37" customHeight="1" thickBot="1"/>
    <row r="74" spans="1:16" s="8" customFormat="1" ht="36" customHeight="1" thickBot="1">
      <c r="A74" s="23" t="s">
        <v>116</v>
      </c>
      <c r="B74" s="214" t="s">
        <v>52</v>
      </c>
      <c r="C74" s="215" t="s">
        <v>53</v>
      </c>
      <c r="D74" s="153" t="s">
        <v>54</v>
      </c>
      <c r="E74" s="153" t="s">
        <v>55</v>
      </c>
      <c r="F74" s="143" t="s">
        <v>162</v>
      </c>
      <c r="G74" s="147" t="s">
        <v>159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 ht="20" customHeight="1">
      <c r="A75" s="88" t="str">
        <f>'BASE PAX'!A50</f>
        <v>TRANSFER AEROPORTO CHEGADA</v>
      </c>
      <c r="B75" s="211">
        <f>'BASE PAX'!B50</f>
        <v>0</v>
      </c>
      <c r="C75" s="213">
        <v>50000</v>
      </c>
      <c r="D75" s="231">
        <f>C75*0.2+C75</f>
        <v>60000</v>
      </c>
      <c r="E75" s="231">
        <f>D75*B75</f>
        <v>0</v>
      </c>
      <c r="F75" s="210">
        <f>B75*C75</f>
        <v>0</v>
      </c>
      <c r="G75" s="199">
        <f t="shared" ref="G75:G80" si="14">E75-F75</f>
        <v>0</v>
      </c>
    </row>
    <row r="76" spans="1:16" ht="20" customHeight="1">
      <c r="A76" s="88" t="str">
        <f>'BASE PAX'!A51</f>
        <v>TRANSFER AEROPORTO PARTIDA</v>
      </c>
      <c r="B76" s="211">
        <f>'BASE PAX'!B51</f>
        <v>0</v>
      </c>
      <c r="C76" s="212">
        <f>'BASE PAX'!C51</f>
        <v>80000</v>
      </c>
      <c r="D76" s="232">
        <f>C76*0.2+C76</f>
        <v>96000</v>
      </c>
      <c r="E76" s="232">
        <f>D76*B76</f>
        <v>0</v>
      </c>
      <c r="F76" s="210">
        <f>B76*C76</f>
        <v>0</v>
      </c>
      <c r="G76" s="200">
        <f t="shared" si="14"/>
        <v>0</v>
      </c>
    </row>
    <row r="77" spans="1:16" ht="20" customHeight="1">
      <c r="A77" s="88" t="str">
        <f>'BASE PAX'!A52</f>
        <v>TRANSFERS INTERNO</v>
      </c>
      <c r="B77" s="211">
        <f>'BASE PAX'!B52</f>
        <v>0</v>
      </c>
      <c r="C77" s="212">
        <f>'BASE PAX'!C52</f>
        <v>18000</v>
      </c>
      <c r="D77" s="232">
        <f>C77*0.2+C77</f>
        <v>21600</v>
      </c>
      <c r="E77" s="232">
        <f>D77*B77</f>
        <v>0</v>
      </c>
      <c r="F77" s="210">
        <f>B77*C77</f>
        <v>0</v>
      </c>
      <c r="G77" s="200">
        <f t="shared" si="14"/>
        <v>0</v>
      </c>
    </row>
    <row r="78" spans="1:16" ht="20" customHeight="1">
      <c r="A78" s="88" t="str">
        <f>'BASE PAX'!A53</f>
        <v>EXTRAS 1</v>
      </c>
      <c r="B78" s="211">
        <f>'BASE PAX'!B53</f>
        <v>0</v>
      </c>
      <c r="C78" s="212">
        <f>'BASE PAX'!C53</f>
        <v>150000</v>
      </c>
      <c r="D78" s="232">
        <f>C78*0.2+C78</f>
        <v>180000</v>
      </c>
      <c r="E78" s="232">
        <f>D78*B78</f>
        <v>0</v>
      </c>
      <c r="F78" s="210">
        <f>B78*C78</f>
        <v>0</v>
      </c>
      <c r="G78" s="200">
        <f t="shared" si="14"/>
        <v>0</v>
      </c>
    </row>
    <row r="79" spans="1:16" ht="20" customHeight="1" thickBot="1">
      <c r="A79" s="218" t="str">
        <f>'BASE PAX'!A54</f>
        <v>EXTRAS 2</v>
      </c>
      <c r="B79" s="211">
        <f>'BASE PAX'!B54</f>
        <v>0</v>
      </c>
      <c r="C79" s="216">
        <f>'BASE PAX'!C54</f>
        <v>0</v>
      </c>
      <c r="D79" s="233">
        <f>C79*0.2+C79</f>
        <v>0</v>
      </c>
      <c r="E79" s="233">
        <f>D79*B79</f>
        <v>0</v>
      </c>
      <c r="F79" s="217">
        <f>B79*C79</f>
        <v>0</v>
      </c>
      <c r="G79" s="201">
        <f t="shared" si="14"/>
        <v>0</v>
      </c>
    </row>
    <row r="80" spans="1:16" ht="44" customHeight="1" thickBot="1">
      <c r="A80" s="23" t="s">
        <v>89</v>
      </c>
      <c r="B80" s="80"/>
      <c r="C80" s="130"/>
      <c r="D80" s="130"/>
      <c r="E80" s="131">
        <f>SUM(E75:E79)</f>
        <v>0</v>
      </c>
      <c r="F80" s="131">
        <f>SUM(F75:F79)</f>
        <v>0</v>
      </c>
      <c r="G80" s="203">
        <f t="shared" si="14"/>
        <v>0</v>
      </c>
    </row>
    <row r="81" spans="1:16" s="8" customFormat="1" ht="11" customHeight="1" thickBot="1">
      <c r="A81" s="16"/>
      <c r="B81" s="56"/>
      <c r="C81" s="105"/>
      <c r="D81" s="102"/>
      <c r="E81" s="102"/>
      <c r="F81" s="7"/>
      <c r="G81" s="17"/>
      <c r="H81" s="7"/>
      <c r="I81" s="7"/>
      <c r="J81" s="7"/>
      <c r="K81" s="7"/>
      <c r="L81" s="7"/>
      <c r="M81" s="7"/>
      <c r="N81" s="7"/>
      <c r="O81" s="7"/>
      <c r="P81" s="7"/>
    </row>
    <row r="82" spans="1:16" s="9" customFormat="1" ht="42" customHeight="1" thickBot="1">
      <c r="A82" s="246" t="s">
        <v>117</v>
      </c>
      <c r="B82" s="247" t="s">
        <v>52</v>
      </c>
      <c r="C82" s="248" t="s">
        <v>53</v>
      </c>
      <c r="D82" s="249" t="s">
        <v>54</v>
      </c>
      <c r="E82" s="249" t="s">
        <v>55</v>
      </c>
      <c r="F82" s="248" t="s">
        <v>162</v>
      </c>
      <c r="G82" s="147" t="s">
        <v>159</v>
      </c>
    </row>
    <row r="83" spans="1:16" ht="20" customHeight="1">
      <c r="A83" s="81" t="str">
        <f>'BASE PAX'!A58</f>
        <v>WS INSTRUCTOR</v>
      </c>
      <c r="B83" s="238">
        <f>'BASE PAX'!B58</f>
        <v>0</v>
      </c>
      <c r="C83" s="239">
        <f>'BASE PAX'!C58</f>
        <v>3415000</v>
      </c>
      <c r="D83" s="240">
        <f>(C83*0.15)+C83</f>
        <v>3927250</v>
      </c>
      <c r="E83" s="240">
        <f>D83*B83</f>
        <v>0</v>
      </c>
      <c r="F83" s="234">
        <f>B83*C83</f>
        <v>0</v>
      </c>
      <c r="G83" s="199">
        <f>E83-F83</f>
        <v>0</v>
      </c>
    </row>
    <row r="84" spans="1:16" ht="20" customHeight="1">
      <c r="A84" s="81" t="str">
        <f>'BASE PAX'!A59</f>
        <v>PRODUCER FEE</v>
      </c>
      <c r="B84" s="235">
        <f>'BASE PAX'!B59</f>
        <v>0</v>
      </c>
      <c r="C84" s="236">
        <f>'BASE PAX'!C59</f>
        <v>180000</v>
      </c>
      <c r="D84" s="237">
        <f>(C84*0.15)+C84</f>
        <v>207000</v>
      </c>
      <c r="E84" s="237">
        <f>D84*B84</f>
        <v>0</v>
      </c>
      <c r="F84" s="234">
        <f>B84*C84</f>
        <v>0</v>
      </c>
      <c r="G84" s="200">
        <f>E84-F84</f>
        <v>0</v>
      </c>
    </row>
    <row r="85" spans="1:16" ht="20" customHeight="1" thickBot="1">
      <c r="A85" s="241">
        <f>'BASE PAX'!A60</f>
        <v>0</v>
      </c>
      <c r="B85" s="242">
        <f>'BASE PAX'!B60</f>
        <v>0</v>
      </c>
      <c r="C85" s="243">
        <f>'BASE PAX'!C60</f>
        <v>20000</v>
      </c>
      <c r="D85" s="244">
        <f>(C85*0.15)+C85</f>
        <v>23000</v>
      </c>
      <c r="E85" s="244">
        <f>D85*B85</f>
        <v>0</v>
      </c>
      <c r="F85" s="245">
        <f>B85*C85</f>
        <v>0</v>
      </c>
      <c r="G85" s="201">
        <f>E85-F85</f>
        <v>0</v>
      </c>
    </row>
    <row r="86" spans="1:16" ht="41" customHeight="1" thickBot="1">
      <c r="A86" s="24" t="s">
        <v>163</v>
      </c>
      <c r="B86" s="82"/>
      <c r="C86" s="132"/>
      <c r="D86" s="132"/>
      <c r="E86" s="133">
        <f>SUM(E83:E85)</f>
        <v>0</v>
      </c>
      <c r="F86" s="133">
        <f>SUM(F81:F85)</f>
        <v>0</v>
      </c>
      <c r="G86" s="203">
        <f>E86-F86</f>
        <v>0</v>
      </c>
    </row>
    <row r="87" spans="1:16" s="8" customFormat="1" ht="11" customHeight="1" thickBot="1">
      <c r="A87" s="16"/>
      <c r="B87" s="56"/>
      <c r="C87" s="105"/>
      <c r="D87" s="102"/>
      <c r="E87" s="102"/>
      <c r="F87" s="7"/>
      <c r="G87" s="17"/>
      <c r="H87" s="7"/>
      <c r="I87" s="7"/>
      <c r="J87" s="7"/>
      <c r="K87" s="7"/>
      <c r="L87" s="7"/>
      <c r="M87" s="7"/>
      <c r="N87" s="7"/>
      <c r="O87" s="7"/>
      <c r="P87" s="7"/>
    </row>
    <row r="88" spans="1:16" ht="38" customHeight="1" thickBot="1">
      <c r="A88" s="258" t="s">
        <v>164</v>
      </c>
      <c r="B88" s="259" t="s">
        <v>92</v>
      </c>
      <c r="C88" s="250" t="s">
        <v>53</v>
      </c>
      <c r="D88" s="260" t="s">
        <v>54</v>
      </c>
      <c r="E88" s="260" t="s">
        <v>55</v>
      </c>
      <c r="F88" s="250"/>
      <c r="G88" s="147" t="s">
        <v>159</v>
      </c>
    </row>
    <row r="89" spans="1:16" ht="20" customHeight="1">
      <c r="A89" s="255" t="str">
        <f>'BASE PAX'!A64</f>
        <v>COORDENAÇÃO PRODUÇÃO</v>
      </c>
      <c r="B89" s="256">
        <f>'BASE PAX'!B64</f>
        <v>0</v>
      </c>
      <c r="C89" s="257">
        <f>'BASE PAX'!C64</f>
        <v>50000</v>
      </c>
      <c r="D89" s="257">
        <f>'BASE PAX'!D64</f>
        <v>0</v>
      </c>
      <c r="E89" s="121">
        <f>D89*B89</f>
        <v>0</v>
      </c>
      <c r="F89" s="257"/>
      <c r="G89" s="199">
        <f t="shared" ref="G89:G94" si="15">E89*0.2</f>
        <v>0</v>
      </c>
    </row>
    <row r="90" spans="1:16" ht="20" customHeight="1">
      <c r="A90" s="251" t="str">
        <f>'BASE PAX'!A65</f>
        <v>EXTRA MÃO DE OBRA</v>
      </c>
      <c r="B90" s="256">
        <f>'BASE PAX'!B65</f>
        <v>0</v>
      </c>
      <c r="C90" s="253">
        <f>'BASE PAX'!C65</f>
        <v>50000</v>
      </c>
      <c r="D90" s="253">
        <f>'BASE PAX'!D65</f>
        <v>0</v>
      </c>
      <c r="E90" s="121">
        <f t="shared" ref="E90:E94" si="16">D90*B90</f>
        <v>0</v>
      </c>
      <c r="F90" s="253"/>
      <c r="G90" s="199">
        <f t="shared" si="15"/>
        <v>0</v>
      </c>
    </row>
    <row r="91" spans="1:16" ht="20" customHeight="1">
      <c r="A91" s="251" t="str">
        <f>'BASE PAX'!A66</f>
        <v>TAXA LIMPEZA CHECK IN / CHECKOUT</v>
      </c>
      <c r="B91" s="252">
        <f>'BASE PAX'!B66</f>
        <v>0</v>
      </c>
      <c r="C91" s="253">
        <f>'BASE PAX'!C66</f>
        <v>40000</v>
      </c>
      <c r="D91" s="253">
        <f>'BASE PAX'!D66</f>
        <v>0</v>
      </c>
      <c r="E91" s="121">
        <f t="shared" si="16"/>
        <v>0</v>
      </c>
      <c r="F91" s="253"/>
      <c r="G91" s="199">
        <f t="shared" si="15"/>
        <v>0</v>
      </c>
    </row>
    <row r="92" spans="1:16" ht="20" customHeight="1">
      <c r="A92" s="251" t="str">
        <f>'BASE PAX'!A67</f>
        <v>TAXA LIMPEZA DIARIA</v>
      </c>
      <c r="B92" s="254">
        <f>'BASE PAX'!B67</f>
        <v>0</v>
      </c>
      <c r="C92" s="253">
        <f>'BASE PAX'!C67</f>
        <v>30000</v>
      </c>
      <c r="D92" s="253">
        <f>'BASE PAX'!D67</f>
        <v>0</v>
      </c>
      <c r="E92" s="121">
        <f t="shared" si="16"/>
        <v>0</v>
      </c>
      <c r="F92" s="253"/>
      <c r="G92" s="199">
        <f t="shared" si="15"/>
        <v>0</v>
      </c>
    </row>
    <row r="93" spans="1:16" ht="20" customHeight="1">
      <c r="A93" s="251" t="str">
        <f>'BASE PAX'!A68</f>
        <v>SOUVENIR</v>
      </c>
      <c r="B93" s="254">
        <f>'BASE PAX'!B68</f>
        <v>0</v>
      </c>
      <c r="C93" s="253">
        <f>'BASE PAX'!C68</f>
        <v>15000</v>
      </c>
      <c r="D93" s="253">
        <f>'BASE PAX'!D68</f>
        <v>0</v>
      </c>
      <c r="E93" s="121">
        <f t="shared" si="16"/>
        <v>0</v>
      </c>
      <c r="F93" s="253"/>
      <c r="G93" s="199">
        <f t="shared" si="15"/>
        <v>0</v>
      </c>
    </row>
    <row r="94" spans="1:16" ht="20" customHeight="1" thickBot="1">
      <c r="A94" s="251" t="str">
        <f>'BASE PAX'!A69</f>
        <v>ASSISTENTE COORDENAÇÃO</v>
      </c>
      <c r="B94" s="256">
        <f>'BASE PAX'!B69</f>
        <v>0</v>
      </c>
      <c r="C94" s="253">
        <f>'BASE PAX'!C69</f>
        <v>30000</v>
      </c>
      <c r="D94" s="253">
        <f>'BASE PAX'!D69</f>
        <v>0</v>
      </c>
      <c r="E94" s="121">
        <f t="shared" si="16"/>
        <v>0</v>
      </c>
      <c r="F94" s="253"/>
      <c r="G94" s="199">
        <f t="shared" si="15"/>
        <v>0</v>
      </c>
    </row>
    <row r="95" spans="1:16" ht="41" customHeight="1" thickBot="1">
      <c r="A95" s="25" t="s">
        <v>101</v>
      </c>
      <c r="B95" s="83"/>
      <c r="C95" s="134"/>
      <c r="D95" s="134"/>
      <c r="E95" s="135">
        <f>SUM(E89:E94)</f>
        <v>0</v>
      </c>
      <c r="F95" s="135"/>
      <c r="G95" s="203">
        <f>SUM(G89:G94)</f>
        <v>0</v>
      </c>
    </row>
    <row r="96" spans="1:16" s="8" customFormat="1" ht="11" customHeight="1" thickBot="1">
      <c r="A96" s="16"/>
      <c r="B96" s="56"/>
      <c r="C96" s="105"/>
      <c r="D96" s="102"/>
      <c r="E96" s="102"/>
      <c r="F96" s="7"/>
      <c r="G96" s="17"/>
      <c r="H96" s="7"/>
      <c r="I96" s="7"/>
      <c r="J96" s="7"/>
      <c r="K96" s="7"/>
      <c r="L96" s="7"/>
      <c r="M96" s="7"/>
      <c r="N96" s="7"/>
      <c r="O96" s="7"/>
      <c r="P96" s="7"/>
    </row>
    <row r="97" spans="1:16" ht="38" customHeight="1" thickBot="1">
      <c r="A97" s="26" t="s">
        <v>165</v>
      </c>
      <c r="B97" s="27" t="s">
        <v>92</v>
      </c>
      <c r="C97" s="136" t="s">
        <v>53</v>
      </c>
      <c r="D97" s="136" t="s">
        <v>54</v>
      </c>
      <c r="E97" s="137" t="s">
        <v>55</v>
      </c>
      <c r="F97" s="20"/>
      <c r="G97" s="20"/>
    </row>
    <row r="98" spans="1:16" ht="23" customHeight="1" thickBot="1">
      <c r="A98" s="84" t="str">
        <f>'BASE PAX'!A73</f>
        <v xml:space="preserve">QUINCHO DAY USE / CABIN </v>
      </c>
      <c r="B98" s="279">
        <f>'BASE PAX'!B73</f>
        <v>0</v>
      </c>
      <c r="C98" s="138">
        <f>'BASE PAX'!C73</f>
        <v>15000</v>
      </c>
      <c r="D98" s="138">
        <f>C98+(C98*0.2)</f>
        <v>18000</v>
      </c>
      <c r="E98" s="139">
        <f>D98*B98</f>
        <v>0</v>
      </c>
      <c r="F98" s="19"/>
      <c r="G98" s="17"/>
    </row>
    <row r="99" spans="1:16" ht="42" customHeight="1" thickBot="1">
      <c r="A99" s="26" t="s">
        <v>104</v>
      </c>
      <c r="B99" s="86"/>
      <c r="C99" s="140"/>
      <c r="D99" s="140"/>
      <c r="E99" s="141">
        <f>E98</f>
        <v>0</v>
      </c>
    </row>
    <row r="100" spans="1:16" s="6" customFormat="1" ht="20" customHeight="1">
      <c r="A100" s="28"/>
      <c r="B100" s="52"/>
      <c r="C100" s="11"/>
      <c r="D100" s="11"/>
      <c r="E100" s="11"/>
      <c r="F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9" customHeight="1"/>
  </sheetData>
  <sheetProtection sheet="1" objects="1" scenarios="1"/>
  <mergeCells count="17">
    <mergeCell ref="A11:A12"/>
    <mergeCell ref="A28:D28"/>
    <mergeCell ref="B5:C5"/>
    <mergeCell ref="F20:F21"/>
    <mergeCell ref="B11:B12"/>
    <mergeCell ref="D11:D12"/>
    <mergeCell ref="B9:C9"/>
    <mergeCell ref="D9:E9"/>
    <mergeCell ref="B8:C8"/>
    <mergeCell ref="D8:E8"/>
    <mergeCell ref="D6:E6"/>
    <mergeCell ref="B6:C6"/>
    <mergeCell ref="I11:K11"/>
    <mergeCell ref="D7:E7"/>
    <mergeCell ref="B7:C7"/>
    <mergeCell ref="F11:G13"/>
    <mergeCell ref="G20:G2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</vt:i4>
      </vt:variant>
    </vt:vector>
  </HeadingPairs>
  <TitlesOfParts>
    <vt:vector size="27" baseType="lpstr">
      <vt:lpstr>CALENDAR</vt:lpstr>
      <vt:lpstr>BASE PAX</vt:lpstr>
      <vt:lpstr>BUDGET RESUMO</vt:lpstr>
      <vt:lpstr>RESULTADO</vt:lpstr>
      <vt:lpstr>BUDGET COIGUE 1</vt:lpstr>
      <vt:lpstr>BUDGET COIGUE 2</vt:lpstr>
      <vt:lpstr>BUDGET COIGUE 2+1</vt:lpstr>
      <vt:lpstr>BUDGET NIRE 1</vt:lpstr>
      <vt:lpstr>BUDGET NIRE 2</vt:lpstr>
      <vt:lpstr>BUDGET NIRE 2+1</vt:lpstr>
      <vt:lpstr>BUDGET CHAITEN 1</vt:lpstr>
      <vt:lpstr>BUDGET CHAITEN 2</vt:lpstr>
      <vt:lpstr>BUDGET CHAITEN 2+1</vt:lpstr>
      <vt:lpstr>BUDGET CHAITEN 2+2</vt:lpstr>
      <vt:lpstr>BUDGET CHAITEN 3</vt:lpstr>
      <vt:lpstr>BUDGET CORCOVADO 1</vt:lpstr>
      <vt:lpstr>BUDGET CORCOVADO 2</vt:lpstr>
      <vt:lpstr>BUDGET CORCOVADO 2+1</vt:lpstr>
      <vt:lpstr>BUDGET CORCOVADO 2+2</vt:lpstr>
      <vt:lpstr>BUDGET CORCOVADO 2+3</vt:lpstr>
      <vt:lpstr>BUDGET CORCOVADO 3</vt:lpstr>
      <vt:lpstr>BUDGET CORCOVADO 3+1</vt:lpstr>
      <vt:lpstr>BUDGET CORCOVADO 3+2</vt:lpstr>
      <vt:lpstr>BUDGET CORCOVADO 4</vt:lpstr>
      <vt:lpstr>BUDGET CORCOVADO 4+1</vt:lpstr>
      <vt:lpstr>BUDGET CORCOVADO 5</vt:lpstr>
      <vt:lpstr>CALENDAR!Print_Titles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Zylbersztajn</dc:creator>
  <cp:lastModifiedBy>Gustavo Zylbersztajn</cp:lastModifiedBy>
  <cp:lastPrinted>2023-03-11T01:34:25Z</cp:lastPrinted>
  <dcterms:created xsi:type="dcterms:W3CDTF">2014-09-11T17:19:09Z</dcterms:created>
  <dcterms:modified xsi:type="dcterms:W3CDTF">2026-06-02T15:41:27Z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tID">
    <vt:lpwstr>TF10000010</vt:lpwstr>
  </property>
</Properties>
</file>