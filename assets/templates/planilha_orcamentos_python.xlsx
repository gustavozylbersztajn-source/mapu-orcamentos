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20" yWindow="1520" windowWidth="44080" windowHeight="21380" tabRatio="600" firstSheet="0" activeTab="2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BASE PAX" sheetId="2" state="visible" r:id="rId2"/>
    <sheet xmlns:r="http://schemas.openxmlformats.org/officeDocument/2006/relationships" name="BUDGET RESUMO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BUDGET COIGUE 1" sheetId="5" state="visible" r:id="rId5"/>
    <sheet xmlns:r="http://schemas.openxmlformats.org/officeDocument/2006/relationships" name="BUDGET COIGUE 2" sheetId="6" state="visible" r:id="rId6"/>
    <sheet xmlns:r="http://schemas.openxmlformats.org/officeDocument/2006/relationships" name="BUDGET COIGUE 2+1" sheetId="7" state="visible" r:id="rId7"/>
    <sheet xmlns:r="http://schemas.openxmlformats.org/officeDocument/2006/relationships" name="BUDGET NIRE 1" sheetId="8" state="visible" r:id="rId8"/>
    <sheet xmlns:r="http://schemas.openxmlformats.org/officeDocument/2006/relationships" name="BUDGET NIRE 2" sheetId="9" state="visible" r:id="rId9"/>
    <sheet xmlns:r="http://schemas.openxmlformats.org/officeDocument/2006/relationships" name="BUDGET NIRE 2+1" sheetId="10" state="visible" r:id="rId10"/>
    <sheet xmlns:r="http://schemas.openxmlformats.org/officeDocument/2006/relationships" name="BUDGET NIRE 2+2" sheetId="11" state="visible" r:id="rId11"/>
    <sheet xmlns:r="http://schemas.openxmlformats.org/officeDocument/2006/relationships" name="BUDGET CHAITEN 1" sheetId="12" state="visible" r:id="rId12"/>
    <sheet xmlns:r="http://schemas.openxmlformats.org/officeDocument/2006/relationships" name="BUDGET CHAITEN 2" sheetId="13" state="visible" r:id="rId13"/>
    <sheet xmlns:r="http://schemas.openxmlformats.org/officeDocument/2006/relationships" name="BUDGET CHAITEN 2+1" sheetId="14" state="visible" r:id="rId14"/>
    <sheet xmlns:r="http://schemas.openxmlformats.org/officeDocument/2006/relationships" name="BUDGET CHAITEN 2+2" sheetId="15" state="visible" r:id="rId15"/>
    <sheet xmlns:r="http://schemas.openxmlformats.org/officeDocument/2006/relationships" name="BUDGET CHAITEN 3" sheetId="16" state="visible" r:id="rId16"/>
    <sheet xmlns:r="http://schemas.openxmlformats.org/officeDocument/2006/relationships" name="BUDGET CORCOVADO 1" sheetId="17" state="visible" r:id="rId17"/>
    <sheet xmlns:r="http://schemas.openxmlformats.org/officeDocument/2006/relationships" name="BUDGET CORCOVADO 2" sheetId="18" state="visible" r:id="rId18"/>
    <sheet xmlns:r="http://schemas.openxmlformats.org/officeDocument/2006/relationships" name="BUDGET CORCOVADO 2+1" sheetId="19" state="visible" r:id="rId19"/>
    <sheet xmlns:r="http://schemas.openxmlformats.org/officeDocument/2006/relationships" name="BUDGET CORCOVADO 2+2" sheetId="20" state="visible" r:id="rId20"/>
    <sheet xmlns:r="http://schemas.openxmlformats.org/officeDocument/2006/relationships" name="BUDGET CORCOVADO 2+3" sheetId="21" state="visible" r:id="rId21"/>
    <sheet xmlns:r="http://schemas.openxmlformats.org/officeDocument/2006/relationships" name="BUDGET CORCOVADO 3" sheetId="22" state="visible" r:id="rId22"/>
    <sheet xmlns:r="http://schemas.openxmlformats.org/officeDocument/2006/relationships" name="BUDGET CORCOVADO 3+1" sheetId="23" state="visible" r:id="rId23"/>
    <sheet xmlns:r="http://schemas.openxmlformats.org/officeDocument/2006/relationships" name="BUDGET CORCOVADO 3+2" sheetId="24" state="visible" r:id="rId24"/>
    <sheet xmlns:r="http://schemas.openxmlformats.org/officeDocument/2006/relationships" name="BUDGET CORCOVADO 4" sheetId="25" state="visible" r:id="rId25"/>
    <sheet xmlns:r="http://schemas.openxmlformats.org/officeDocument/2006/relationships" name="BUDGET CORCOVADO 4+1" sheetId="26" state="visible" r:id="rId26"/>
    <sheet xmlns:r="http://schemas.openxmlformats.org/officeDocument/2006/relationships" name="BUDGET CORCOVADO 5" sheetId="27" state="visible" r:id="rId27"/>
  </sheets>
  <externalReferences>
    <externalReference xmlns:r="http://schemas.openxmlformats.org/officeDocument/2006/relationships" r:id="rId28"/>
  </externalReferences>
  <definedNames>
    <definedName name="_xlnm.Print_Titles" localSheetId="0">'CALENDAR'!$4:$4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[$USD]\ #,##0.00"/>
    <numFmt numFmtId="165" formatCode="#,##0.0_ ;\-#,##0.0\ "/>
    <numFmt numFmtId="166" formatCode="_-* #,##0.0_-;\-* #,##0.0_-;_-* &quot;-&quot;?_-;_-@_-"/>
    <numFmt numFmtId="167" formatCode="[$CLP]\ #,##0.00"/>
    <numFmt numFmtId="168" formatCode="[$CLP]\ #,##0.0;\-[$CLP]\ #,##0.0"/>
    <numFmt numFmtId="169" formatCode="[$CLP]\ #,##0;\-[$CLP]\ #,##0"/>
    <numFmt numFmtId="170" formatCode="_-[$CLP]\ * #,##0_-;\-[$CLP]\ * #,##0_-;_-[$CLP]\ * &quot;-&quot;_-;_-@_-"/>
    <numFmt numFmtId="171" formatCode="[$CLP]\ #,##0.00;\-[$CLP]\ #,##0.00"/>
    <numFmt numFmtId="172" formatCode="&quot;$&quot;#,##0.00"/>
    <numFmt numFmtId="173" formatCode="[$-409]h:mm\ AM/PM;@"/>
    <numFmt numFmtId="174" formatCode="DD/MM/YYYY"/>
  </numFmts>
  <fonts count="39">
    <font>
      <name val="Arial"/>
      <family val="2"/>
      <color theme="0" tint="-0.3499862666707358"/>
      <sz val="9"/>
      <scheme val="minor"/>
    </font>
    <font>
      <name val="Arial"/>
      <family val="2"/>
      <color theme="1"/>
      <sz val="12"/>
      <scheme val="minor"/>
    </font>
    <font>
      <name val="Arial"/>
      <family val="2"/>
      <color theme="4" tint="-0.499984740745262"/>
      <sz val="12"/>
      <scheme val="major"/>
    </font>
    <font>
      <name val="Arial"/>
      <family val="2"/>
      <color theme="4"/>
      <sz val="10"/>
      <scheme val="major"/>
    </font>
    <font>
      <name val="Arial"/>
      <family val="2"/>
      <color theme="1"/>
      <sz val="11"/>
      <scheme val="minor"/>
    </font>
    <font>
      <name val="Avenir Book"/>
      <family val="2"/>
      <color theme="1"/>
      <sz val="12"/>
    </font>
    <font>
      <name val="Avenir Book"/>
      <family val="2"/>
      <b val="1"/>
      <color theme="1"/>
      <sz val="10"/>
    </font>
    <font>
      <name val="Avenir Book"/>
      <family val="2"/>
      <b val="1"/>
      <color theme="1"/>
      <sz val="20"/>
    </font>
    <font>
      <name val="Avenir Book"/>
      <family val="2"/>
      <b val="1"/>
      <color theme="1"/>
      <sz val="12"/>
    </font>
    <font>
      <name val="Avenir Book"/>
      <family val="2"/>
      <color theme="1"/>
      <sz val="10"/>
    </font>
    <font>
      <name val="Arial"/>
      <family val="2"/>
      <color theme="10"/>
      <sz val="12"/>
      <u val="single"/>
      <scheme val="minor"/>
    </font>
    <font>
      <name val="Avenir Book"/>
      <family val="2"/>
      <color theme="1"/>
      <sz val="8"/>
    </font>
    <font>
      <name val="Avenir Book"/>
      <family val="2"/>
      <b val="1"/>
      <color theme="1"/>
      <sz val="8"/>
    </font>
    <font>
      <name val="Avenir Book"/>
      <family val="2"/>
      <b val="1"/>
      <i val="1"/>
      <color theme="1"/>
      <sz val="12"/>
    </font>
    <font>
      <name val="Avenir Book"/>
      <family val="2"/>
      <b val="1"/>
      <i val="1"/>
      <color theme="1"/>
      <sz val="10"/>
    </font>
    <font>
      <name val="Avenir Book"/>
      <family val="2"/>
      <b val="1"/>
      <color theme="1"/>
      <sz val="48"/>
    </font>
    <font>
      <name val="Avenir Book"/>
      <family val="2"/>
      <b val="1"/>
      <color theme="1"/>
      <sz val="16"/>
    </font>
    <font>
      <name val="Avenir Book"/>
      <family val="2"/>
      <b val="1"/>
      <color theme="1"/>
      <sz val="9"/>
    </font>
    <font>
      <name val="Avenir Book"/>
      <family val="2"/>
      <b val="1"/>
      <color rgb="FF000000"/>
      <sz val="8"/>
    </font>
    <font>
      <name val="Arial"/>
      <family val="2"/>
      <color theme="1"/>
      <sz val="10"/>
      <scheme val="minor"/>
    </font>
    <font>
      <name val="Avenir Book"/>
      <family val="2"/>
      <b val="1"/>
      <color theme="1"/>
      <sz val="14"/>
    </font>
    <font>
      <name val="Avenir Book"/>
      <family val="2"/>
      <color theme="1"/>
      <sz val="14"/>
    </font>
    <font>
      <name val="Avenir Book"/>
      <family val="2"/>
      <b val="1"/>
      <color rgb="FFFF0000"/>
      <sz val="8"/>
    </font>
    <font>
      <name val="Avenir Book"/>
      <family val="2"/>
      <color rgb="FF000000"/>
      <sz val="12"/>
    </font>
    <font>
      <name val="Avenir Book"/>
      <family val="2"/>
      <b val="1"/>
      <color indexed="8"/>
      <sz val="12"/>
    </font>
    <font>
      <name val="Avenir Book"/>
      <family val="2"/>
      <b val="1"/>
      <color indexed="8"/>
      <sz val="20"/>
    </font>
    <font>
      <name val="Avenir Book"/>
      <family val="2"/>
      <b val="1"/>
      <color theme="1"/>
      <sz val="11"/>
    </font>
    <font>
      <name val="Avenir Book"/>
      <family val="2"/>
      <b val="1"/>
      <color theme="1"/>
      <sz val="15"/>
    </font>
    <font>
      <name val="Avenir Book"/>
      <family val="2"/>
      <b val="1"/>
      <color theme="1"/>
      <sz val="13"/>
    </font>
    <font>
      <name val="Avenir Book"/>
      <family val="2"/>
      <color theme="1"/>
      <sz val="1"/>
    </font>
    <font>
      <name val="Avenir Book"/>
      <family val="2"/>
      <b val="1"/>
      <color theme="1"/>
      <sz val="1"/>
    </font>
    <font>
      <name val="Avenir Book"/>
      <family val="2"/>
      <b val="1"/>
      <i val="1"/>
      <color theme="1"/>
      <sz val="1"/>
    </font>
    <font>
      <name val="Avenir Book"/>
      <family val="2"/>
      <b val="1"/>
      <color theme="0"/>
      <sz val="12"/>
    </font>
    <font>
      <name val="Avenir Book"/>
      <family val="2"/>
      <color theme="1"/>
      <sz val="20"/>
    </font>
    <font>
      <name val="Avenir Book"/>
      <family val="2"/>
      <b val="1"/>
      <color rgb="FF000000"/>
      <sz val="9"/>
    </font>
    <font>
      <name val="Avenir Book"/>
      <family val="2"/>
      <color theme="1"/>
      <sz val="11"/>
    </font>
    <font>
      <name val="Avenir Book"/>
      <family val="2"/>
      <b val="1"/>
      <color indexed="8"/>
      <sz val="10"/>
    </font>
    <font>
      <name val="Avenir Book"/>
      <family val="2"/>
      <b val="1"/>
      <color indexed="8"/>
      <sz val="9"/>
    </font>
    <font>
      <name val="Arial"/>
      <family val="2"/>
      <i val="1"/>
      <color theme="0" tint="-0.3499862666707358"/>
      <sz val="9"/>
      <scheme val="minor"/>
    </font>
  </fonts>
  <fills count="38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"/>
        <bgColor rgb="FF00000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3" borderId="0" applyAlignment="1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1064">
    <xf numFmtId="0" fontId="0" fillId="3" borderId="0" applyAlignment="1" pivotButton="0" quotePrefix="0" xfId="0">
      <alignment horizontal="left" vertical="center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9" fontId="5" fillId="8" borderId="17" applyAlignment="1" applyProtection="1" pivotButton="0" quotePrefix="0" xfId="4">
      <alignment horizontal="center" vertical="center"/>
      <protection locked="0" hidden="0"/>
    </xf>
    <xf numFmtId="14" fontId="5" fillId="16" borderId="0" applyAlignment="1" applyProtection="1" pivotButton="0" quotePrefix="0" xfId="4">
      <alignment horizontal="center" vertical="center"/>
      <protection locked="0" hidden="0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49" fontId="5" fillId="16" borderId="0" applyAlignment="1" applyProtection="1" pivotButton="0" quotePrefix="0" xfId="4">
      <alignment horizontal="center" vertical="center"/>
      <protection locked="0" hidden="0"/>
    </xf>
    <xf numFmtId="0" fontId="5" fillId="4" borderId="0" applyAlignment="1" pivotButton="0" quotePrefix="0" xfId="4">
      <alignment horizontal="center"/>
    </xf>
    <xf numFmtId="0" fontId="5" fillId="4" borderId="0" pivotButton="0" quotePrefix="0" xfId="4"/>
    <xf numFmtId="0" fontId="11" fillId="4" borderId="0" pivotButton="0" quotePrefix="0" xfId="4"/>
    <xf numFmtId="0" fontId="9" fillId="4" borderId="0" applyAlignment="1" pivotButton="0" quotePrefix="0" xfId="4">
      <alignment horizontal="center"/>
    </xf>
    <xf numFmtId="0" fontId="9" fillId="4" borderId="0" pivotButton="0" quotePrefix="0" xfId="4"/>
    <xf numFmtId="164" fontId="5" fillId="4" borderId="0" applyAlignment="1" pivotButton="0" quotePrefix="0" xfId="4">
      <alignment horizontal="center" vertical="center"/>
    </xf>
    <xf numFmtId="164" fontId="5" fillId="4" borderId="0" pivotButton="0" quotePrefix="0" xfId="4"/>
    <xf numFmtId="0" fontId="6" fillId="4" borderId="0" applyAlignment="1" pivotButton="0" quotePrefix="0" xfId="4">
      <alignment vertical="center"/>
    </xf>
    <xf numFmtId="0" fontId="7" fillId="4" borderId="0" applyAlignment="1" pivotButton="0" quotePrefix="0" xfId="4">
      <alignment vertical="center"/>
    </xf>
    <xf numFmtId="0" fontId="15" fillId="4" borderId="0" applyAlignment="1" pivotButton="0" quotePrefix="0" xfId="4">
      <alignment vertical="center"/>
    </xf>
    <xf numFmtId="0" fontId="8" fillId="4" borderId="0" applyAlignment="1" pivotButton="0" quotePrefix="0" xfId="4">
      <alignment horizontal="right" vertical="center"/>
    </xf>
    <xf numFmtId="0" fontId="13" fillId="4" borderId="0" applyAlignment="1" pivotButton="0" quotePrefix="0" xfId="4">
      <alignment horizontal="center"/>
    </xf>
    <xf numFmtId="0" fontId="8" fillId="8" borderId="3" applyAlignment="1" pivotButton="0" quotePrefix="0" xfId="4">
      <alignment vertical="center"/>
    </xf>
    <xf numFmtId="0" fontId="13" fillId="4" borderId="0" pivotButton="0" quotePrefix="0" xfId="4"/>
    <xf numFmtId="164" fontId="13" fillId="4" borderId="0" applyAlignment="1" pivotButton="0" quotePrefix="0" xfId="4">
      <alignment horizontal="center" vertical="center"/>
    </xf>
    <xf numFmtId="0" fontId="8" fillId="21" borderId="3" applyAlignment="1" pivotButton="0" quotePrefix="0" xfId="4">
      <alignment vertical="center"/>
    </xf>
    <xf numFmtId="0" fontId="8" fillId="10" borderId="3" applyAlignment="1" pivotButton="0" quotePrefix="0" xfId="4">
      <alignment vertical="center"/>
    </xf>
    <xf numFmtId="0" fontId="8" fillId="11" borderId="3" applyAlignment="1" pivotButton="0" quotePrefix="0" xfId="4">
      <alignment vertical="center"/>
    </xf>
    <xf numFmtId="0" fontId="8" fillId="13" borderId="3" applyAlignment="1" pivotButton="0" quotePrefix="0" xfId="4">
      <alignment vertical="center"/>
    </xf>
    <xf numFmtId="0" fontId="8" fillId="15" borderId="3" applyAlignment="1" pivotButton="0" quotePrefix="0" xfId="4">
      <alignment vertical="center"/>
    </xf>
    <xf numFmtId="0" fontId="8" fillId="22" borderId="3" applyAlignment="1" pivotButton="0" quotePrefix="0" xfId="4">
      <alignment vertical="center"/>
    </xf>
    <xf numFmtId="0" fontId="6" fillId="22" borderId="4" applyAlignment="1" pivotButton="0" quotePrefix="0" xfId="4">
      <alignment horizontal="center" vertical="center"/>
    </xf>
    <xf numFmtId="0" fontId="5" fillId="4" borderId="0" applyAlignment="1" pivotButton="0" quotePrefix="0" xfId="4">
      <alignment horizontal="right" vertical="center"/>
    </xf>
    <xf numFmtId="16" fontId="8" fillId="25" borderId="2" applyAlignment="1" applyProtection="1" pivotButton="0" quotePrefix="0" xfId="0">
      <alignment horizontal="left" vertical="center"/>
      <protection locked="0" hidden="0"/>
    </xf>
    <xf numFmtId="14" fontId="8" fillId="8" borderId="2" applyAlignment="1" applyProtection="1" pivotButton="0" quotePrefix="0" xfId="0">
      <alignment horizontal="left" vertical="center"/>
      <protection locked="0" hidden="0"/>
    </xf>
    <xf numFmtId="1" fontId="12" fillId="32" borderId="2" applyAlignment="1" applyProtection="1" pivotButton="0" quotePrefix="0" xfId="4">
      <alignment horizontal="center" vertical="center"/>
      <protection locked="0" hidden="0"/>
    </xf>
    <xf numFmtId="0" fontId="11" fillId="4" borderId="0" applyAlignment="1" pivotButton="0" quotePrefix="0" xfId="4">
      <alignment horizont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" fontId="5" fillId="9" borderId="22" applyAlignment="1" applyProtection="1" pivotButton="0" quotePrefix="0" xfId="8">
      <alignment horizontal="right" vertical="center"/>
      <protection locked="0" hidden="0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" fontId="5" fillId="15" borderId="22" applyAlignment="1" applyProtection="1" pivotButton="0" quotePrefix="0" xfId="8">
      <alignment horizontal="right" vertical="center"/>
      <protection locked="0" hidden="0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0" fontId="5" fillId="18" borderId="11" applyAlignment="1" applyProtection="1" pivotButton="0" quotePrefix="0" xfId="8">
      <alignment horizontal="right" vertical="center"/>
      <protection locked="0" hidden="0"/>
    </xf>
    <xf numFmtId="0" fontId="5" fillId="18" borderId="11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center" vertical="center"/>
      <protection locked="0" hidden="0"/>
    </xf>
    <xf numFmtId="0" fontId="5" fillId="14" borderId="11" applyAlignment="1" applyProtection="1" pivotButton="0" quotePrefix="0" xfId="8">
      <alignment horizontal="right" vertical="center"/>
      <protection locked="0" hidden="0"/>
    </xf>
    <xf numFmtId="0" fontId="5" fillId="14" borderId="11" applyAlignment="1" applyProtection="1" pivotButton="0" quotePrefix="0" xfId="8">
      <alignment horizontal="center" vertical="center"/>
      <protection locked="0" hidden="0"/>
    </xf>
    <xf numFmtId="0" fontId="5" fillId="16" borderId="11" applyAlignment="1" applyProtection="1" pivotButton="0" quotePrefix="0" xfId="8">
      <alignment horizontal="right" vertical="center"/>
      <protection locked="0" hidden="0"/>
    </xf>
    <xf numFmtId="0" fontId="5" fillId="16" borderId="11" applyAlignment="1" applyProtection="1" pivotButton="0" quotePrefix="0" xfId="8">
      <alignment horizontal="center" vertical="center"/>
      <protection locked="0" hidden="0"/>
    </xf>
    <xf numFmtId="1" fontId="5" fillId="16" borderId="11" applyAlignment="1" applyProtection="1" pivotButton="0" quotePrefix="0" xfId="8">
      <alignment horizontal="center" vertical="center"/>
      <protection locked="0" hidden="0"/>
    </xf>
    <xf numFmtId="0" fontId="5" fillId="19" borderId="11" applyAlignment="1" applyProtection="1" pivotButton="0" quotePrefix="0" xfId="8">
      <alignment horizontal="right" vertical="center"/>
      <protection locked="0" hidden="0"/>
    </xf>
    <xf numFmtId="0" fontId="5" fillId="19" borderId="11" applyAlignment="1" applyProtection="1" pivotButton="0" quotePrefix="0" xfId="8">
      <alignment horizontal="center" vertical="center"/>
      <protection locked="0" hidden="0"/>
    </xf>
    <xf numFmtId="0" fontId="5" fillId="4" borderId="0" applyProtection="1" pivotButton="0" quotePrefix="0" xfId="4">
      <protection locked="0" hidden="0"/>
    </xf>
    <xf numFmtId="0" fontId="5" fillId="4" borderId="0" applyAlignment="1" pivotButton="0" quotePrefix="0" xfId="4">
      <alignment horizontal="center" vertical="center"/>
    </xf>
    <xf numFmtId="0" fontId="7" fillId="4" borderId="0" applyAlignment="1" pivotButton="0" quotePrefix="0" xfId="4">
      <alignment horizontal="center" vertical="center"/>
    </xf>
    <xf numFmtId="0" fontId="8" fillId="5" borderId="0" applyAlignment="1" pivotButton="0" quotePrefix="0" xfId="4">
      <alignment horizontal="left" vertical="center"/>
    </xf>
    <xf numFmtId="0" fontId="8" fillId="10" borderId="0" applyAlignment="1" pivotButton="0" quotePrefix="0" xfId="4">
      <alignment horizontal="left" vertical="center"/>
    </xf>
    <xf numFmtId="43" fontId="12" fillId="4" borderId="0" applyAlignment="1" pivotButton="0" quotePrefix="0" xfId="4">
      <alignment horizontal="center" vertical="center"/>
    </xf>
    <xf numFmtId="0" fontId="8" fillId="17" borderId="0" applyAlignment="1" pivotButton="0" quotePrefix="0" xfId="4">
      <alignment horizontal="center" vertical="center" wrapText="1"/>
    </xf>
    <xf numFmtId="9" fontId="8" fillId="17" borderId="0" applyAlignment="1" pivotButton="0" quotePrefix="0" xfId="4">
      <alignment horizontal="center" vertical="center" wrapText="1"/>
    </xf>
    <xf numFmtId="0" fontId="8" fillId="13" borderId="0" applyAlignment="1" pivotButton="0" quotePrefix="0" xfId="4">
      <alignment horizontal="center" vertical="center"/>
    </xf>
    <xf numFmtId="0" fontId="8" fillId="13" borderId="0" applyAlignment="1" pivotButton="0" quotePrefix="0" xfId="4">
      <alignment horizontal="center" vertical="center" wrapText="1"/>
    </xf>
    <xf numFmtId="0" fontId="8" fillId="24" borderId="0" applyAlignment="1" pivotButton="0" quotePrefix="0" xfId="4">
      <alignment horizontal="left" vertical="center"/>
    </xf>
    <xf numFmtId="0" fontId="8" fillId="8" borderId="0" applyAlignment="1" pivotButton="0" quotePrefix="0" xfId="4">
      <alignment horizontal="left" vertical="center"/>
    </xf>
    <xf numFmtId="0" fontId="8" fillId="21" borderId="0" applyAlignment="1" pivotButton="0" quotePrefix="0" xfId="4">
      <alignment horizontal="left" vertical="center"/>
    </xf>
    <xf numFmtId="0" fontId="8" fillId="13" borderId="0" applyAlignment="1" pivotButton="0" quotePrefix="0" xfId="4">
      <alignment horizontal="left" vertical="center"/>
    </xf>
    <xf numFmtId="0" fontId="8" fillId="15" borderId="0" applyAlignment="1" pivotButton="0" quotePrefix="0" xfId="4">
      <alignment horizontal="left" vertical="center"/>
    </xf>
    <xf numFmtId="0" fontId="8" fillId="22" borderId="0" applyAlignment="1" pivotButton="0" quotePrefix="0" xfId="4">
      <alignment horizontal="left" vertical="center"/>
    </xf>
    <xf numFmtId="0" fontId="8" fillId="23" borderId="0" applyAlignment="1" pivotButton="0" quotePrefix="0" xfId="4">
      <alignment horizontal="right" vertical="center"/>
    </xf>
    <xf numFmtId="0" fontId="8" fillId="24" borderId="3" applyAlignment="1" pivotButton="0" quotePrefix="0" xfId="4">
      <alignment horizontal="left" vertical="center"/>
    </xf>
    <xf numFmtId="0" fontId="6" fillId="24" borderId="4" applyAlignment="1" pivotButton="0" quotePrefix="0" xfId="4">
      <alignment horizontal="center" vertical="center"/>
    </xf>
    <xf numFmtId="0" fontId="6" fillId="24" borderId="5" applyAlignment="1" pivotButton="0" quotePrefix="0" xfId="4">
      <alignment horizontal="center" vertical="center" wrapText="1"/>
    </xf>
    <xf numFmtId="0" fontId="5" fillId="8" borderId="11" applyAlignment="1" pivotButton="0" quotePrefix="0" xfId="4">
      <alignment horizontal="right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0" fontId="5" fillId="18" borderId="11" applyAlignment="1" pivotButton="0" quotePrefix="0" xfId="4">
      <alignment horizontal="right" vertical="center"/>
    </xf>
    <xf numFmtId="0" fontId="8" fillId="21" borderId="4" applyAlignment="1" pivotButton="0" quotePrefix="0" xfId="4">
      <alignment vertical="center"/>
    </xf>
    <xf numFmtId="0" fontId="5" fillId="5" borderId="11" applyAlignment="1" pivotButton="0" quotePrefix="0" xfId="4">
      <alignment horizontal="right" vertical="center"/>
    </xf>
    <xf numFmtId="0" fontId="8" fillId="10" borderId="4" applyAlignment="1" pivotButton="0" quotePrefix="0" xfId="4">
      <alignment vertical="center"/>
    </xf>
    <xf numFmtId="0" fontId="8" fillId="11" borderId="4" applyAlignment="1" pivotButton="0" quotePrefix="0" xfId="4">
      <alignment vertical="center"/>
    </xf>
    <xf numFmtId="0" fontId="5" fillId="14" borderId="11" applyAlignment="1" pivotButton="0" quotePrefix="0" xfId="4">
      <alignment horizontal="right" vertical="center"/>
    </xf>
    <xf numFmtId="0" fontId="8" fillId="13" borderId="4" applyAlignment="1" pivotButton="0" quotePrefix="0" xfId="4">
      <alignment vertical="center"/>
    </xf>
    <xf numFmtId="0" fontId="8" fillId="15" borderId="4" applyAlignment="1" pivotButton="0" quotePrefix="0" xfId="4">
      <alignment vertical="center"/>
    </xf>
    <xf numFmtId="0" fontId="5" fillId="19" borderId="11" applyAlignment="1" pivotButton="0" quotePrefix="0" xfId="4">
      <alignment horizontal="right" vertical="center"/>
    </xf>
    <xf numFmtId="0" fontId="5" fillId="19" borderId="11" applyAlignment="1" pivotButton="0" quotePrefix="0" xfId="4">
      <alignment horizontal="center" vertical="center"/>
    </xf>
    <xf numFmtId="0" fontId="8" fillId="22" borderId="4" applyAlignment="1" pivotButton="0" quotePrefix="0" xfId="4">
      <alignment vertical="center"/>
    </xf>
    <xf numFmtId="0" fontId="5" fillId="18" borderId="12" applyAlignment="1" pivotButton="0" quotePrefix="0" xfId="4">
      <alignment horizontal="right" vertical="center"/>
    </xf>
    <xf numFmtId="0" fontId="5" fillId="12" borderId="11" applyAlignment="1" pivotButton="0" quotePrefix="0" xfId="4">
      <alignment horizontal="right" vertic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6" fontId="5" fillId="15" borderId="1" applyAlignment="1" pivotButton="0" quotePrefix="0" xfId="4">
      <alignment horizontal="center" vertical="center"/>
    </xf>
    <xf numFmtId="3" fontId="5" fillId="8" borderId="11" applyAlignment="1" applyProtection="1" pivotButton="0" quotePrefix="0" xfId="4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4" borderId="0" pivotButton="0" quotePrefix="0" xfId="4"/>
    <xf numFmtId="167" fontId="6" fillId="8" borderId="5" applyAlignment="1" pivotButton="0" quotePrefix="0" xfId="4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7" fontId="5" fillId="24" borderId="0" applyAlignment="1" pivotButton="0" quotePrefix="0" xfId="4">
      <alignment horizontal="center" vertical="center"/>
    </xf>
    <xf numFmtId="167" fontId="5" fillId="8" borderId="0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2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8" fillId="15" borderId="2" applyAlignment="1" pivotButton="0" quotePrefix="0" xfId="4">
      <alignment horizontal="center"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6" fillId="7" borderId="9" applyAlignment="1" pivotButton="0" quotePrefix="0" xfId="4">
      <alignment horizontal="center" vertical="center"/>
    </xf>
    <xf numFmtId="1" fontId="5" fillId="15" borderId="11" applyAlignment="1" pivotButton="0" quotePrefix="0" xfId="4">
      <alignment horizontal="right" vertical="center"/>
    </xf>
    <xf numFmtId="1" fontId="5" fillId="9" borderId="12" applyAlignment="1" pivotButton="0" quotePrefix="0" xfId="4">
      <alignment horizontal="right" vertical="center"/>
    </xf>
    <xf numFmtId="1" fontId="5" fillId="15" borderId="12" applyAlignment="1" pivotButton="0" quotePrefix="0" xfId="4">
      <alignment horizontal="right" vertical="center"/>
    </xf>
    <xf numFmtId="0" fontId="8" fillId="8" borderId="31" applyAlignment="1" pivotButton="0" quotePrefix="0" xfId="4">
      <alignment vertical="center"/>
    </xf>
    <xf numFmtId="167" fontId="8" fillId="8" borderId="31" applyAlignment="1" pivotButton="0" quotePrefix="0" xfId="4">
      <alignment horizontal="center" vertical="center"/>
    </xf>
    <xf numFmtId="0" fontId="6" fillId="8" borderId="9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0" fontId="8" fillId="8" borderId="13" applyAlignment="1" pivotButton="0" quotePrefix="0" xfId="4">
      <alignment vertical="center"/>
    </xf>
    <xf numFmtId="167" fontId="8" fillId="35" borderId="10" applyAlignment="1" pivotButton="0" quotePrefix="0" xfId="4">
      <alignment horizontal="center" vertical="center"/>
    </xf>
    <xf numFmtId="1" fontId="5" fillId="9" borderId="33" applyAlignment="1" pivotButton="0" quotePrefix="0" xfId="4">
      <alignment horizontal="right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5" fontId="5" fillId="9" borderId="20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0" fontId="5" fillId="18" borderId="40" applyAlignment="1" pivotButton="0" quotePrefix="0" xfId="4">
      <alignment horizontal="right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0" fontId="5" fillId="18" borderId="41" applyAlignment="1" pivotButton="0" quotePrefix="0" xfId="4">
      <alignment horizontal="right" vertical="center"/>
    </xf>
    <xf numFmtId="167" fontId="8" fillId="21" borderId="5" applyAlignment="1" pivotButton="0" quotePrefix="0" xfId="4">
      <alignment vertical="center"/>
    </xf>
    <xf numFmtId="167" fontId="6" fillId="35" borderId="2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5" fillId="25" borderId="1" applyAlignment="1" pivotButton="0" quotePrefix="0" xfId="4">
      <alignment horizontal="center" vertical="center"/>
    </xf>
    <xf numFmtId="0" fontId="5" fillId="5" borderId="40" applyAlignment="1" pivotButton="0" quotePrefix="0" xfId="4">
      <alignment horizontal="right" vertical="center"/>
    </xf>
    <xf numFmtId="167" fontId="5" fillId="25" borderId="34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8" fillId="10" borderId="3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0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0" fontId="6" fillId="21" borderId="9" applyAlignment="1" pivotButton="0" quotePrefix="0" xfId="4">
      <alignment horizontal="center" vertical="center"/>
    </xf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0" fontId="5" fillId="12" borderId="1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0" fontId="6" fillId="11" borderId="9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0" fontId="5" fillId="12" borderId="40" applyAlignment="1" pivotButton="0" quotePrefix="0" xfId="4">
      <alignment horizontal="right" vertical="center"/>
    </xf>
    <xf numFmtId="0" fontId="5" fillId="5" borderId="1" applyAlignment="1" pivotButton="0" quotePrefix="0" xfId="4">
      <alignment horizontal="right" vertical="center"/>
    </xf>
    <xf numFmtId="167" fontId="5" fillId="10" borderId="1" applyAlignment="1" pivotButton="0" quotePrefix="0" xfId="4">
      <alignment horizontal="center" vertical="center"/>
    </xf>
    <xf numFmtId="0" fontId="5" fillId="5" borderId="34" applyAlignment="1" pivotButton="0" quotePrefix="0" xfId="4">
      <alignment horizontal="right" vertical="center"/>
    </xf>
    <xf numFmtId="167" fontId="5" fillId="10" borderId="34" applyAlignment="1" pivotButton="0" quotePrefix="0" xfId="4">
      <alignment horizontal="center" vertical="center"/>
    </xf>
    <xf numFmtId="0" fontId="5" fillId="5" borderId="27" applyAlignment="1" pivotButton="0" quotePrefix="0" xfId="4">
      <alignment horizontal="right" vertical="center"/>
    </xf>
    <xf numFmtId="0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0" fontId="8" fillId="10" borderId="8" applyAlignment="1" pivotButton="0" quotePrefix="0" xfId="4">
      <alignment vertical="center"/>
    </xf>
    <xf numFmtId="0" fontId="6" fillId="10" borderId="9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0" fontId="5" fillId="14" borderId="1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0" fontId="5" fillId="14" borderId="27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0" fontId="5" fillId="14" borderId="40" applyAlignment="1" pivotButton="0" quotePrefix="0" xfId="4">
      <alignment horizontal="right" vertical="center"/>
    </xf>
    <xf numFmtId="0" fontId="5" fillId="14" borderId="34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0" fontId="8" fillId="13" borderId="8" applyAlignment="1" pivotButton="0" quotePrefix="0" xfId="4">
      <alignment vertical="center"/>
    </xf>
    <xf numFmtId="0" fontId="6" fillId="13" borderId="9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0" fontId="5" fillId="16" borderId="1" applyAlignment="1" pivotButton="0" quotePrefix="0" xfId="4">
      <alignment horizontal="right" vertical="center"/>
    </xf>
    <xf numFmtId="0" fontId="5" fillId="16" borderId="1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" fontId="5" fillId="16" borderId="1" applyAlignment="1" pivotButton="0" quotePrefix="0" xfId="4">
      <alignment horizontal="center" vertical="center"/>
    </xf>
    <xf numFmtId="0" fontId="5" fillId="16" borderId="27" applyAlignment="1" pivotButton="0" quotePrefix="0" xfId="4">
      <alignment horizontal="right" vertical="center"/>
    </xf>
    <xf numFmtId="0" fontId="5" fillId="16" borderId="27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0" fontId="8" fillId="15" borderId="8" applyAlignment="1" pivotButton="0" quotePrefix="0" xfId="4">
      <alignment vertical="center"/>
    </xf>
    <xf numFmtId="0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0" fontId="8" fillId="8" borderId="7" applyAlignment="1" pivotButton="0" quotePrefix="0" xfId="4">
      <alignment horizontal="left"/>
    </xf>
    <xf numFmtId="0" fontId="8" fillId="18" borderId="22" applyAlignment="1" pivotButton="0" quotePrefix="0" xfId="4">
      <alignment horizontal="left"/>
    </xf>
    <xf numFmtId="0" fontId="8" fillId="5" borderId="22" applyAlignment="1" pivotButton="0" quotePrefix="0" xfId="4">
      <alignment horizontal="left"/>
    </xf>
    <xf numFmtId="0" fontId="8" fillId="21" borderId="22" applyAlignment="1" pivotButton="0" quotePrefix="0" xfId="4">
      <alignment horizontal="left"/>
    </xf>
    <xf numFmtId="0" fontId="8" fillId="13" borderId="22" applyAlignment="1" pivotButton="0" quotePrefix="0" xfId="4">
      <alignment horizontal="left"/>
    </xf>
    <xf numFmtId="0" fontId="8" fillId="15" borderId="22" applyAlignment="1" pivotButton="0" quotePrefix="0" xfId="4">
      <alignment horizontal="left"/>
    </xf>
    <xf numFmtId="0" fontId="24" fillId="8" borderId="7" applyAlignment="1" pivotButton="0" quotePrefix="0" xfId="4">
      <alignment horizontal="left"/>
    </xf>
    <xf numFmtId="0" fontId="24" fillId="18" borderId="22" applyAlignment="1" pivotButton="0" quotePrefix="0" xfId="4">
      <alignment horizontal="left"/>
    </xf>
    <xf numFmtId="0" fontId="24" fillId="5" borderId="22" applyAlignment="1" pivotButton="0" quotePrefix="0" xfId="4">
      <alignment horizontal="left"/>
    </xf>
    <xf numFmtId="0" fontId="24" fillId="21" borderId="22" applyAlignment="1" pivotButton="0" quotePrefix="0" xfId="4">
      <alignment horizontal="left"/>
    </xf>
    <xf numFmtId="0" fontId="24" fillId="13" borderId="22" applyAlignment="1" pivotButton="0" quotePrefix="0" xfId="4">
      <alignment horizontal="left"/>
    </xf>
    <xf numFmtId="0" fontId="24" fillId="15" borderId="22" applyAlignment="1" pivotButton="0" quotePrefix="0" xfId="4">
      <alignment horizontal="left"/>
    </xf>
    <xf numFmtId="0" fontId="15" fillId="35" borderId="0" applyAlignment="1" pivotButton="0" quotePrefix="0" xfId="4">
      <alignment vertical="center"/>
    </xf>
    <xf numFmtId="0" fontId="9" fillId="35" borderId="0" pivotButton="0" quotePrefix="0" xfId="4"/>
    <xf numFmtId="0" fontId="5" fillId="19" borderId="27" applyAlignment="1" pivotButton="0" quotePrefix="0" xfId="4">
      <alignment horizontal="center" vertical="center"/>
    </xf>
    <xf numFmtId="0" fontId="8" fillId="20" borderId="35" applyAlignment="1" applyProtection="1" pivotButton="0" quotePrefix="0" xfId="2">
      <alignment horizontal="center" vertical="center"/>
      <protection locked="0" hidden="0"/>
    </xf>
    <xf numFmtId="0" fontId="8" fillId="20" borderId="36" applyAlignment="1" applyProtection="1" pivotButton="0" quotePrefix="0" xfId="2">
      <alignment horizontal="center" vertical="center"/>
      <protection locked="0" hidden="0"/>
    </xf>
    <xf numFmtId="0" fontId="8" fillId="27" borderId="9" applyAlignment="1" applyProtection="1" pivotButton="0" quotePrefix="0" xfId="0">
      <alignment horizontal="center" vertical="center"/>
      <protection locked="0" hidden="0"/>
    </xf>
    <xf numFmtId="167" fontId="5" fillId="30" borderId="38" applyAlignment="1" pivotButton="0" quotePrefix="1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0" fontId="35" fillId="4" borderId="0" applyAlignment="1" pivotButton="0" quotePrefix="0" xfId="4">
      <alignment horizontal="center"/>
    </xf>
    <xf numFmtId="0" fontId="6" fillId="4" borderId="0" applyAlignment="1" pivotButton="0" quotePrefix="0" xfId="4">
      <alignment horizontal="right"/>
    </xf>
    <xf numFmtId="0" fontId="6" fillId="4" borderId="0" applyAlignment="1" pivotButton="0" quotePrefix="0" xfId="4">
      <alignment horizontal="center"/>
    </xf>
    <xf numFmtId="170" fontId="6" fillId="4" borderId="0" applyAlignment="1" pivotButton="0" quotePrefix="0" xfId="4">
      <alignment horizontal="center"/>
    </xf>
    <xf numFmtId="0" fontId="36" fillId="4" borderId="0" applyAlignment="1" pivotButton="0" quotePrefix="0" xfId="4">
      <alignment horizontal="center"/>
    </xf>
    <xf numFmtId="170" fontId="36" fillId="4" borderId="0" applyAlignment="1" pivotButton="0" quotePrefix="0" xfId="4">
      <alignment horizontal="center"/>
    </xf>
    <xf numFmtId="0" fontId="17" fillId="4" borderId="0" applyAlignment="1" pivotButton="0" quotePrefix="0" xfId="4">
      <alignment horizontal="right"/>
    </xf>
    <xf numFmtId="1" fontId="37" fillId="4" borderId="0" applyAlignment="1" pivotButton="0" quotePrefix="0" xfId="4">
      <alignment horizontal="right"/>
    </xf>
    <xf numFmtId="0" fontId="37" fillId="4" borderId="0" applyAlignment="1" pivotButton="0" quotePrefix="0" xfId="4">
      <alignment horizontal="right"/>
    </xf>
    <xf numFmtId="167" fontId="17" fillId="4" borderId="0" applyAlignment="1" pivotButton="0" quotePrefix="0" xfId="4">
      <alignment horizontal="center"/>
    </xf>
    <xf numFmtId="167" fontId="24" fillId="15" borderId="0" applyAlignment="1" pivotButton="0" quotePrefix="0" xfId="4">
      <alignment horizontal="center" vertical="center"/>
    </xf>
    <xf numFmtId="0" fontId="24" fillId="15" borderId="0" applyAlignment="1" pivotButton="0" quotePrefix="0" xfId="4">
      <alignment horizontal="left" vertical="center"/>
    </xf>
    <xf numFmtId="167" fontId="17" fillId="15" borderId="0" applyAlignment="1" pivotButton="0" quotePrefix="0" xfId="4">
      <alignment horizontal="center"/>
    </xf>
    <xf numFmtId="167" fontId="37" fillId="15" borderId="0" applyAlignment="1" pivotButton="0" quotePrefix="0" xfId="4">
      <alignment horizontal="center"/>
    </xf>
    <xf numFmtId="167" fontId="8" fillId="1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0" fontId="37" fillId="4" borderId="0" applyAlignment="1" pivotButton="0" quotePrefix="0" xfId="4">
      <alignment horizontal="right" vertical="center"/>
    </xf>
    <xf numFmtId="167" fontId="8" fillId="15" borderId="31" applyAlignment="1" pivotButton="0" quotePrefix="0" xfId="4">
      <alignment vertical="center"/>
    </xf>
    <xf numFmtId="16" fontId="8" fillId="27" borderId="9" applyAlignment="1" applyProtection="1" pivotButton="0" quotePrefix="0" xfId="0">
      <alignment horizontal="center" vertical="center"/>
      <protection locked="0" hidden="0"/>
    </xf>
    <xf numFmtId="0" fontId="8" fillId="25" borderId="35" applyAlignment="1" applyProtection="1" pivotButton="0" quotePrefix="0" xfId="2">
      <alignment horizontal="center" vertical="center"/>
      <protection locked="0" hidden="0"/>
    </xf>
    <xf numFmtId="0" fontId="8" fillId="25" borderId="36" applyAlignment="1" applyProtection="1" pivotButton="0" quotePrefix="0" xfId="2">
      <alignment horizontal="center" vertical="center"/>
      <protection locked="0" hidden="0"/>
    </xf>
    <xf numFmtId="0" fontId="8" fillId="14" borderId="35" applyAlignment="1" applyProtection="1" pivotButton="0" quotePrefix="0" xfId="2">
      <alignment horizontal="center" vertical="center"/>
      <protection locked="0" hidden="0"/>
    </xf>
    <xf numFmtId="0" fontId="8" fillId="16" borderId="35" applyAlignment="1" applyProtection="1" pivotButton="0" quotePrefix="0" xfId="2">
      <alignment horizontal="center" vertical="center"/>
      <protection locked="0" hidden="0"/>
    </xf>
    <xf numFmtId="0" fontId="5" fillId="5" borderId="1" applyAlignment="1" applyProtection="1" pivotButton="0" quotePrefix="0" xfId="8">
      <alignment horizontal="right" vertical="center"/>
      <protection locked="0" hidden="0"/>
    </xf>
    <xf numFmtId="0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0" fontId="23" fillId="33" borderId="1" applyAlignment="1" applyProtection="1" pivotButton="0" quotePrefix="0" xfId="8">
      <alignment horizontal="right" vertical="center"/>
      <protection locked="0" hidden="0"/>
    </xf>
    <xf numFmtId="0" fontId="17" fillId="5" borderId="1" applyAlignment="1" applyProtection="1" pivotButton="0" quotePrefix="0" xfId="0">
      <alignment horizontal="center" vertical="center" wrapText="1"/>
      <protection locked="0" hidden="0"/>
    </xf>
    <xf numFmtId="0" fontId="34" fillId="37" borderId="1" applyAlignment="1" applyProtection="1" pivotButton="0" quotePrefix="0" xfId="0">
      <alignment horizontal="center" vertical="center" wrapText="1"/>
      <protection locked="0" hidden="0"/>
    </xf>
    <xf numFmtId="0" fontId="17" fillId="5" borderId="27" applyAlignment="1" applyProtection="1" pivotButton="0" quotePrefix="0" xfId="0">
      <alignment horizontal="center" vertical="center" wrapText="1"/>
      <protection locked="0" hidden="0"/>
    </xf>
    <xf numFmtId="0" fontId="17" fillId="27" borderId="8" applyAlignment="1" applyProtection="1" pivotButton="0" quotePrefix="0" xfId="0">
      <alignment horizontal="center" vertical="center" wrapText="1"/>
      <protection locked="0" hidden="0"/>
    </xf>
    <xf numFmtId="0" fontId="17" fillId="27" borderId="9" applyAlignment="1" applyProtection="1" pivotButton="0" quotePrefix="0" xfId="0">
      <alignment horizontal="center" vertical="center" wrapText="1"/>
      <protection locked="0" hidden="0"/>
    </xf>
    <xf numFmtId="0" fontId="17" fillId="27" borderId="44" applyAlignment="1" applyProtection="1" pivotButton="0" quotePrefix="0" xfId="0">
      <alignment horizontal="center" vertical="center" wrapText="1"/>
      <protection locked="0" hidden="0"/>
    </xf>
    <xf numFmtId="0" fontId="8" fillId="27" borderId="44" applyAlignment="1" applyProtection="1" pivotButton="0" quotePrefix="0" xfId="0">
      <alignment horizontal="center" vertical="center"/>
      <protection locked="0" hidden="0"/>
    </xf>
    <xf numFmtId="0" fontId="8" fillId="20" borderId="50" applyAlignment="1" applyProtection="1" pivotButton="0" quotePrefix="0" xfId="2">
      <alignment horizontal="center" vertical="center"/>
      <protection locked="0" hidden="0"/>
    </xf>
    <xf numFmtId="0" fontId="17" fillId="5" borderId="26" applyAlignment="1" applyProtection="1" pivotButton="0" quotePrefix="0" xfId="0">
      <alignment horizontal="center" vertical="center" wrapText="1"/>
      <protection locked="0" hidden="0"/>
    </xf>
    <xf numFmtId="0" fontId="17" fillId="5" borderId="19" applyAlignment="1" applyProtection="1" pivotButton="0" quotePrefix="0" xfId="0">
      <alignment horizontal="center" vertical="center" wrapText="1"/>
      <protection locked="0" hidden="0"/>
    </xf>
    <xf numFmtId="0" fontId="17" fillId="5" borderId="20" applyAlignment="1" applyProtection="1" pivotButton="0" quotePrefix="0" xfId="0">
      <alignment horizontal="center" vertical="center" wrapText="1"/>
      <protection locked="0" hidden="0"/>
    </xf>
    <xf numFmtId="0" fontId="17" fillId="5" borderId="23" applyAlignment="1" applyProtection="1" pivotButton="0" quotePrefix="0" xfId="0">
      <alignment horizontal="center" vertical="center" wrapText="1"/>
      <protection locked="0" hidden="0"/>
    </xf>
    <xf numFmtId="167" fontId="5" fillId="25" borderId="51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7" fontId="8" fillId="35" borderId="13" applyAlignment="1" pivotButton="0" quotePrefix="0" xfId="4">
      <alignment horizontal="center" vertical="center"/>
    </xf>
    <xf numFmtId="0" fontId="5" fillId="16" borderId="29" applyAlignment="1" pivotButton="0" quotePrefix="0" xfId="4">
      <alignment vertical="center"/>
    </xf>
    <xf numFmtId="0" fontId="5" fillId="16" borderId="30" applyAlignment="1" pivotButton="0" quotePrefix="0" xfId="4">
      <alignment vertical="center"/>
    </xf>
    <xf numFmtId="0" fontId="5" fillId="16" borderId="0" applyAlignment="1" pivotButton="0" quotePrefix="0" xfId="4">
      <alignment vertical="center"/>
    </xf>
    <xf numFmtId="0" fontId="5" fillId="16" borderId="42" applyAlignment="1" pivotButton="0" quotePrefix="0" xfId="4">
      <alignment vertical="center"/>
    </xf>
    <xf numFmtId="0" fontId="24" fillId="30" borderId="5" applyAlignment="1" pivotButton="0" quotePrefix="0" xfId="4">
      <alignment horizontal="center" vertical="center"/>
    </xf>
    <xf numFmtId="0" fontId="8" fillId="30" borderId="5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" fontId="17" fillId="16" borderId="49" applyAlignment="1" pivotButton="0" quotePrefix="0" xfId="4">
      <alignment horizontal="right" vertical="center"/>
    </xf>
    <xf numFmtId="1" fontId="37" fillId="16" borderId="49" applyAlignment="1" pivotButton="0" quotePrefix="0" xfId="4">
      <alignment horizontal="right" vertical="center"/>
    </xf>
    <xf numFmtId="0" fontId="17" fillId="30" borderId="33" applyAlignment="1" pivotButton="0" quotePrefix="0" xfId="4">
      <alignment horizontal="right" vertical="center"/>
    </xf>
    <xf numFmtId="169" fontId="6" fillId="30" borderId="16" applyAlignment="1" pivotButton="0" quotePrefix="0" xfId="4">
      <alignment horizontal="center" vertical="center"/>
    </xf>
    <xf numFmtId="0" fontId="37" fillId="30" borderId="33" applyAlignment="1" pivotButton="0" quotePrefix="0" xfId="4">
      <alignment horizontal="right" vertical="center"/>
    </xf>
    <xf numFmtId="169" fontId="36" fillId="30" borderId="16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0" fontId="24" fillId="30" borderId="5" applyAlignment="1" pivotButton="0" quotePrefix="0" xfId="4">
      <alignment horizontal="left" vertical="center"/>
    </xf>
    <xf numFmtId="0" fontId="8" fillId="30" borderId="5" applyAlignment="1" pivotButton="0" quotePrefix="0" xfId="4">
      <alignment horizontal="left" vertical="center"/>
    </xf>
    <xf numFmtId="1" fontId="17" fillId="15" borderId="12" applyAlignment="1" pivotButton="0" quotePrefix="0" xfId="4">
      <alignment horizontal="right" vertical="center"/>
    </xf>
    <xf numFmtId="1" fontId="37" fillId="15" borderId="12" applyAlignment="1" pivotButton="0" quotePrefix="0" xfId="4">
      <alignment horizontal="right" vertical="center"/>
    </xf>
    <xf numFmtId="169" fontId="6" fillId="16" borderId="53" applyAlignment="1" pivotButton="0" quotePrefix="0" xfId="4">
      <alignment horizontal="center" vertical="center"/>
    </xf>
    <xf numFmtId="169" fontId="36" fillId="16" borderId="53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" fontId="17" fillId="16" borderId="8" applyAlignment="1" pivotButton="0" quotePrefix="0" xfId="4">
      <alignment horizontal="right" vertical="center"/>
    </xf>
    <xf numFmtId="167" fontId="6" fillId="16" borderId="44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" fontId="37" fillId="16" borderId="8" applyAlignment="1" pivotButton="0" quotePrefix="0" xfId="4">
      <alignment horizontal="right" vertical="center"/>
    </xf>
    <xf numFmtId="167" fontId="37" fillId="16" borderId="44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17" fillId="16" borderId="44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0" fontId="0" fillId="0" borderId="4" pivotButton="0" quotePrefix="0" xfId="0"/>
    <xf numFmtId="0" fontId="0" fillId="0" borderId="13" pivotButton="0" quotePrefix="0" xfId="0"/>
    <xf numFmtId="0" fontId="8" fillId="4" borderId="0" applyAlignment="1" pivotButton="0" quotePrefix="0" xfId="1">
      <alignment horizontal="center"/>
    </xf>
    <xf numFmtId="0" fontId="17" fillId="4" borderId="0" applyAlignment="1" pivotButton="0" quotePrefix="0" xfId="0">
      <alignment horizontal="center" vertical="center"/>
    </xf>
    <xf numFmtId="0" fontId="17" fillId="4" borderId="29" applyAlignment="1" pivotButton="0" quotePrefix="0" xfId="0">
      <alignment horizontal="center" vertical="center"/>
    </xf>
    <xf numFmtId="0" fontId="7" fillId="4" borderId="29" applyAlignment="1" pivotButton="0" quotePrefix="0" xfId="0">
      <alignment horizontal="center" vertical="center"/>
    </xf>
    <xf numFmtId="0" fontId="17" fillId="4" borderId="28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45" pivotButton="0" quotePrefix="0" xfId="0"/>
    <xf numFmtId="0" fontId="8" fillId="6" borderId="3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172" fontId="17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4" fontId="17" fillId="4" borderId="0" applyAlignment="1" pivotButton="0" quotePrefix="0" xfId="0">
      <alignment horizontal="center" vertical="center"/>
    </xf>
    <xf numFmtId="0" fontId="5" fillId="4" borderId="0" pivotButton="0" quotePrefix="0" xfId="8"/>
    <xf numFmtId="0" fontId="5" fillId="4" borderId="0" applyAlignment="1" pivotButton="0" quotePrefix="0" xfId="8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right"/>
    </xf>
    <xf numFmtId="0" fontId="6" fillId="4" borderId="0" applyAlignment="1" pivotButton="0" quotePrefix="0" xfId="8">
      <alignment horizontal="center"/>
    </xf>
    <xf numFmtId="167" fontId="6" fillId="4" borderId="0" applyAlignment="1" pivotButton="0" quotePrefix="0" xfId="8">
      <alignment vertical="center"/>
    </xf>
    <xf numFmtId="0" fontId="7" fillId="4" borderId="0" applyAlignment="1" pivotButton="0" quotePrefix="0" xfId="8">
      <alignment vertical="center"/>
    </xf>
    <xf numFmtId="0" fontId="7" fillId="4" borderId="0" applyAlignment="1" pivotButton="0" quotePrefix="0" xfId="8">
      <alignment horizontal="center" vertical="center"/>
    </xf>
    <xf numFmtId="167" fontId="15" fillId="4" borderId="0" applyAlignment="1" pivotButton="0" quotePrefix="0" xfId="8">
      <alignment vertical="center"/>
    </xf>
    <xf numFmtId="0" fontId="9" fillId="4" borderId="0" pivotButton="0" quotePrefix="0" xfId="8"/>
    <xf numFmtId="0" fontId="14" fillId="4" borderId="0" applyAlignment="1" pivotButton="0" quotePrefix="0" xfId="8">
      <alignment horizontal="center"/>
    </xf>
    <xf numFmtId="0" fontId="11" fillId="4" borderId="0" pivotButton="0" quotePrefix="0" xfId="8"/>
    <xf numFmtId="0" fontId="8" fillId="8" borderId="3" applyAlignment="1" pivotButton="0" quotePrefix="0" xfId="8">
      <alignment vertical="center"/>
    </xf>
    <xf numFmtId="0" fontId="6" fillId="8" borderId="4" applyAlignment="1" pivotButton="0" quotePrefix="0" xfId="8">
      <alignment horizontal="center"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0" fontId="14" fillId="4" borderId="0" applyAlignment="1" pivotButton="0" quotePrefix="0" xfId="8">
      <alignment horizontal="right"/>
    </xf>
    <xf numFmtId="1" fontId="5" fillId="15" borderId="7" applyAlignment="1" pivotButton="0" quotePrefix="0" xfId="8">
      <alignment horizontal="right" vertical="center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0" fontId="14" fillId="8" borderId="0" applyAlignment="1" pivotButton="0" quotePrefix="0" xfId="8">
      <alignment horizontal="right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0" fontId="14" fillId="7" borderId="0" applyAlignment="1" pivotButton="0" quotePrefix="0" xfId="8">
      <alignment horizontal="right"/>
    </xf>
    <xf numFmtId="0" fontId="14" fillId="7" borderId="0" applyAlignment="1" pivotButton="0" quotePrefix="0" xfId="8">
      <alignment horizontal="center"/>
    </xf>
    <xf numFmtId="0" fontId="6" fillId="7" borderId="0" applyAlignment="1" pivotButton="0" quotePrefix="0" xfId="8">
      <alignment horizontal="center"/>
    </xf>
    <xf numFmtId="167" fontId="5" fillId="15" borderId="1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/>
    </xf>
    <xf numFmtId="0" fontId="14" fillId="15" borderId="0" applyAlignment="1" pivotButton="0" quotePrefix="0" xfId="8">
      <alignment horizontal="center"/>
    </xf>
    <xf numFmtId="0" fontId="6" fillId="15" borderId="0" applyAlignment="1" pivotButton="0" quotePrefix="0" xfId="8">
      <alignment horizontal="center"/>
    </xf>
    <xf numFmtId="1" fontId="8" fillId="9" borderId="22" applyAlignment="1" pivotButton="0" quotePrefix="0" xfId="8">
      <alignment horizontal="right" vertical="center"/>
    </xf>
    <xf numFmtId="0" fontId="14" fillId="16" borderId="0" applyAlignment="1" pivotButton="0" quotePrefix="0" xfId="8">
      <alignment horizontal="right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0" fontId="8" fillId="4" borderId="0" applyAlignment="1" pivotButton="0" quotePrefix="0" xfId="8">
      <alignment horizontal="right" vertic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0" fontId="8" fillId="21" borderId="3" applyAlignment="1" pivotButton="0" quotePrefix="0" xfId="8">
      <alignment vertical="center"/>
    </xf>
    <xf numFmtId="0" fontId="6" fillId="21" borderId="4" applyAlignment="1" pivotButton="0" quotePrefix="0" xfId="8">
      <alignment horizontal="center" vertic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0" fontId="8" fillId="10" borderId="28" applyAlignment="1" pivotButton="0" quotePrefix="0" xfId="8">
      <alignment vertical="center"/>
    </xf>
    <xf numFmtId="0" fontId="6" fillId="10" borderId="29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167" fontId="5" fillId="33" borderId="1" applyAlignment="1" pivotButton="0" quotePrefix="0" xfId="8">
      <alignment horizontal="center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0" fontId="8" fillId="11" borderId="3" applyAlignment="1" pivotButton="0" quotePrefix="0" xfId="8">
      <alignment vertical="center"/>
    </xf>
    <xf numFmtId="0" fontId="6" fillId="11" borderId="4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0" fontId="8" fillId="13" borderId="3" applyAlignment="1" pivotButton="0" quotePrefix="0" xfId="8">
      <alignment vertical="center"/>
    </xf>
    <xf numFmtId="0" fontId="6" fillId="13" borderId="4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0" fontId="6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center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0" fontId="8" fillId="4" borderId="0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0" fontId="8" fillId="15" borderId="3" applyAlignment="1" pivotButton="0" quotePrefix="0" xfId="8">
      <alignment vertical="center"/>
    </xf>
    <xf numFmtId="0" fontId="6" fillId="15" borderId="4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0" fontId="8" fillId="22" borderId="3" applyAlignment="1" pivotButton="0" quotePrefix="0" xfId="8">
      <alignment vertical="center"/>
    </xf>
    <xf numFmtId="0" fontId="6" fillId="22" borderId="4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0" fontId="5" fillId="4" borderId="0" applyAlignment="1" pivotButton="0" quotePrefix="0" xfId="8">
      <alignment horizontal="right" vertical="center"/>
    </xf>
    <xf numFmtId="0" fontId="5" fillId="4" borderId="0" applyAlignment="1" pivotButton="0" quotePrefix="0" xfId="8">
      <alignment horizont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0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0" fontId="0" fillId="0" borderId="0" pivotButton="0" quotePrefix="0" xfId="0"/>
    <xf numFmtId="0" fontId="9" fillId="4" borderId="6" applyAlignment="1" pivotButton="0" quotePrefix="0" xfId="4">
      <alignment horizontal="center"/>
    </xf>
    <xf numFmtId="0" fontId="6" fillId="25" borderId="2" applyAlignment="1" pivotButton="0" quotePrefix="0" xfId="4">
      <alignment horizontal="center" vertical="center"/>
    </xf>
    <xf numFmtId="16" fontId="6" fillId="25" borderId="2" applyAlignment="1" pivotButton="0" quotePrefix="0" xfId="4">
      <alignment horizontal="center" vertical="center"/>
    </xf>
    <xf numFmtId="0" fontId="6" fillId="8" borderId="2" applyAlignment="1" pivotButton="0" quotePrefix="0" xfId="4">
      <alignment horizontal="center" vertical="center"/>
    </xf>
    <xf numFmtId="14" fontId="6" fillId="8" borderId="5" applyAlignment="1" pivotButton="0" quotePrefix="0" xfId="4">
      <alignment horizontal="center" vertical="center"/>
    </xf>
    <xf numFmtId="0" fontId="9" fillId="13" borderId="4" pivotButton="0" quotePrefix="0" xfId="4"/>
    <xf numFmtId="0" fontId="6" fillId="13" borderId="2" applyAlignment="1" pivotButton="0" quotePrefix="0" xfId="4">
      <alignment horizontal="center" vertical="center"/>
    </xf>
    <xf numFmtId="0" fontId="6" fillId="13" borderId="5" applyAlignment="1" pivotButton="0" quotePrefix="0" xfId="0">
      <alignment horizontal="center" vertical="center"/>
    </xf>
    <xf numFmtId="0" fontId="6" fillId="13" borderId="5" applyAlignment="1" pivotButton="0" quotePrefix="0" xfId="4">
      <alignment horizontal="center" vertical="center"/>
    </xf>
    <xf numFmtId="0" fontId="11" fillId="4" borderId="10" applyAlignment="1" pivotButton="0" quotePrefix="0" xfId="4">
      <alignment horizontal="center"/>
    </xf>
    <xf numFmtId="0" fontId="12" fillId="19" borderId="2" applyAlignment="1" pivotButton="0" quotePrefix="0" xfId="4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8" fillId="27" borderId="2" applyAlignment="1" pivotButton="0" quotePrefix="0" xfId="4">
      <alignment horizontal="center" vertical="center"/>
    </xf>
    <xf numFmtId="0" fontId="8" fillId="27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 vertical="center"/>
    </xf>
    <xf numFmtId="0" fontId="8" fillId="27" borderId="3" applyAlignment="1" pivotButton="0" quotePrefix="0" xfId="4">
      <alignment horizontal="center" vertical="center"/>
    </xf>
    <xf numFmtId="0" fontId="8" fillId="27" borderId="4" applyAlignment="1" pivotButton="0" quotePrefix="0" xfId="4">
      <alignment horizontal="center" vertical="center"/>
    </xf>
    <xf numFmtId="0" fontId="8" fillId="27" borderId="4" applyAlignment="1" pivotButton="0" quotePrefix="0" xfId="0">
      <alignment horizontal="center" vertical="center"/>
    </xf>
    <xf numFmtId="0" fontId="8" fillId="19" borderId="2" applyAlignment="1" pivotButton="0" quotePrefix="0" xfId="4">
      <alignment horizontal="left" vertical="center"/>
    </xf>
    <xf numFmtId="0" fontId="8" fillId="19" borderId="2" applyAlignment="1" pivotButton="0" quotePrefix="0" xfId="4">
      <alignment horizontal="center" vertical="center"/>
    </xf>
    <xf numFmtId="0" fontId="8" fillId="19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/>
    </xf>
    <xf numFmtId="0" fontId="8" fillId="7" borderId="6" applyAlignment="1" pivotButton="0" quotePrefix="0" xfId="4">
      <alignment horizontal="left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0" fontId="8" fillId="8" borderId="24" applyAlignment="1" pivotButton="0" quotePrefix="0" xfId="4">
      <alignment horizontal="left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0" fontId="8" fillId="21" borderId="24" applyAlignment="1" pivotButton="0" quotePrefix="0" xfId="4">
      <alignment horizontal="left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0" fontId="8" fillId="5" borderId="24" applyAlignment="1" pivotButton="0" quotePrefix="0" xfId="4">
      <alignment horizontal="left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0" fontId="8" fillId="18" borderId="24" applyAlignment="1" pivotButton="0" quotePrefix="0" xfId="4">
      <alignment horizontal="left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0" fontId="8" fillId="13" borderId="24" applyAlignment="1" pivotButton="0" quotePrefix="0" xfId="4">
      <alignment horizontal="left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0" fontId="8" fillId="15" borderId="24" applyAlignment="1" pivotButton="0" quotePrefix="0" xfId="4">
      <alignment horizontal="left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0" fontId="8" fillId="22" borderId="10" applyAlignment="1" pivotButton="0" quotePrefix="0" xfId="4">
      <alignment horizontal="left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0" fontId="8" fillId="4" borderId="0" applyAlignment="1" pivotButton="0" quotePrefix="0" xfId="4">
      <alignment horizontal="left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0" fontId="8" fillId="15" borderId="2" applyAlignment="1" pivotButton="0" quotePrefix="0" xfId="4">
      <alignment horizontal="left" vertical="center"/>
    </xf>
    <xf numFmtId="167" fontId="8" fillId="15" borderId="2" applyAlignment="1" pivotButton="0" quotePrefix="0" xfId="0">
      <alignment horizontal="center" vertical="center"/>
    </xf>
    <xf numFmtId="0" fontId="6" fillId="4" borderId="0" applyAlignment="1" pivotButton="0" quotePrefix="0" xfId="4">
      <alignment horizontal="center" vertical="center"/>
    </xf>
    <xf numFmtId="0" fontId="6" fillId="16" borderId="2" applyAlignment="1" pivotButton="0" quotePrefix="0" xfId="4">
      <alignment horizontal="left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0" fontId="6" fillId="16" borderId="10" applyAlignment="1" pivotButton="0" quotePrefix="0" xfId="4">
      <alignment horizontal="left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0" fontId="6" fillId="4" borderId="0" applyAlignment="1" pivotButton="0" quotePrefix="0" xfId="4">
      <alignment horizontal="left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8" fillId="8" borderId="6" applyAlignment="1" pivotButton="0" quotePrefix="0" xfId="4">
      <alignment horizontal="left" vertical="center"/>
    </xf>
    <xf numFmtId="167" fontId="8" fillId="8" borderId="3" applyAlignment="1" pivotButton="0" quotePrefix="0" xfId="4">
      <alignment horizontal="center" vertical="center"/>
    </xf>
    <xf numFmtId="0" fontId="0" fillId="0" borderId="4" pivotButton="0" quotePrefix="0" xfId="4"/>
    <xf numFmtId="0" fontId="8" fillId="8" borderId="2" applyAlignment="1" pivotButton="0" quotePrefix="0" xfId="4">
      <alignment horizontal="left" vertical="center"/>
    </xf>
    <xf numFmtId="0" fontId="8" fillId="7" borderId="6" applyAlignment="1" pivotButton="0" quotePrefix="0" xfId="4">
      <alignment horizontal="left" vertical="center" wrapText="1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0" fontId="8" fillId="8" borderId="10" applyAlignment="1" pivotButton="0" quotePrefix="0" xfId="4">
      <alignment horizontal="left" vertical="center" wrapText="1"/>
    </xf>
    <xf numFmtId="167" fontId="8" fillId="8" borderId="10" applyAlignment="1" pivotButton="0" quotePrefix="0" xfId="0">
      <alignment horizontal="center" vertical="center"/>
    </xf>
    <xf numFmtId="0" fontId="8" fillId="7" borderId="2" applyAlignment="1" pivotButton="0" quotePrefix="0" xfId="4">
      <alignment horizontal="left" vertical="center" wrapText="1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0" fontId="28" fillId="32" borderId="2" applyAlignment="1" pivotButton="0" quotePrefix="0" xfId="4">
      <alignment horizontal="center" vertical="center"/>
    </xf>
    <xf numFmtId="0" fontId="8" fillId="26" borderId="2" applyAlignment="1" pivotButton="0" quotePrefix="0" xfId="4">
      <alignment horizontal="left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0" fontId="5" fillId="4" borderId="0" pivotButton="0" quotePrefix="0" xfId="0"/>
    <xf numFmtId="0" fontId="8" fillId="25" borderId="1" applyAlignment="1" pivotButton="0" quotePrefix="0" xfId="4">
      <alignment horizontal="left"/>
    </xf>
    <xf numFmtId="167" fontId="5" fillId="25" borderId="1" applyAlignment="1" pivotButton="0" quotePrefix="0" xfId="0">
      <alignment horizontal="center" vertical="center"/>
    </xf>
    <xf numFmtId="1" fontId="12" fillId="32" borderId="2" applyAlignment="1" applyProtection="1" pivotButton="0" quotePrefix="0" xfId="0">
      <alignment horizontal="center" vertical="center"/>
      <protection locked="0" hidden="0"/>
    </xf>
    <xf numFmtId="0" fontId="9" fillId="4" borderId="0" pivotButton="0" quotePrefix="0" xfId="7"/>
    <xf numFmtId="0" fontId="5" fillId="4" borderId="0" pivotButton="0" quotePrefix="0" xfId="7"/>
    <xf numFmtId="164" fontId="5" fillId="4" borderId="0" pivotButton="0" quotePrefix="0" xfId="7"/>
    <xf numFmtId="0" fontId="29" fillId="4" borderId="0" pivotButton="0" quotePrefix="0" xfId="7"/>
    <xf numFmtId="0" fontId="6" fillId="4" borderId="0" applyAlignment="1" pivotButton="0" quotePrefix="0" xfId="7">
      <alignment vertical="center"/>
    </xf>
    <xf numFmtId="0" fontId="7" fillId="4" borderId="0" applyAlignment="1" pivotButton="0" quotePrefix="0" xfId="7">
      <alignment vertical="center"/>
    </xf>
    <xf numFmtId="0" fontId="18" fillId="28" borderId="0" applyAlignment="1" pivotButton="0" quotePrefix="0" xfId="7">
      <alignment horizontal="right" vertical="center"/>
    </xf>
    <xf numFmtId="164" fontId="19" fillId="4" borderId="0" applyAlignment="1" pivotButton="0" quotePrefix="0" xfId="5">
      <alignment vertical="center"/>
    </xf>
    <xf numFmtId="0" fontId="20" fillId="30" borderId="3" applyAlignment="1" pivotButton="0" quotePrefix="0" xfId="7">
      <alignment horizontal="right" vertical="center"/>
    </xf>
    <xf numFmtId="16" fontId="20" fillId="4" borderId="0" applyAlignment="1" pivotButton="0" quotePrefix="0" xfId="7">
      <alignment vertical="center"/>
    </xf>
    <xf numFmtId="0" fontId="21" fillId="4" borderId="0" pivotButton="0" quotePrefix="0" xfId="7"/>
    <xf numFmtId="0" fontId="20" fillId="25" borderId="3" applyAlignment="1" pivotButton="0" quotePrefix="0" xfId="7">
      <alignment horizontal="right" vertical="center"/>
    </xf>
    <xf numFmtId="0" fontId="20" fillId="8" borderId="28" applyAlignment="1" pivotButton="0" quotePrefix="0" xfId="7">
      <alignment horizontal="right" vertical="center"/>
    </xf>
    <xf numFmtId="0" fontId="8" fillId="34" borderId="2" applyAlignment="1" pivotButton="0" quotePrefix="0" xfId="7">
      <alignment horizontal="center" vertical="center"/>
    </xf>
    <xf numFmtId="0" fontId="20" fillId="18" borderId="3" applyAlignment="1" pivotButton="0" quotePrefix="0" xfId="7">
      <alignment horizontal="right" vertical="center"/>
    </xf>
    <xf numFmtId="0" fontId="20" fillId="4" borderId="0" applyAlignment="1" pivotButton="0" quotePrefix="0" xfId="7">
      <alignment vertical="center"/>
    </xf>
    <xf numFmtId="0" fontId="8" fillId="18" borderId="3" applyAlignment="1" pivotButton="0" quotePrefix="0" xfId="7">
      <alignment horizontal="center" vertical="center"/>
    </xf>
    <xf numFmtId="167" fontId="8" fillId="18" borderId="2" applyAlignment="1" pivotButton="0" quotePrefix="0" xfId="7">
      <alignment horizontal="center" vertical="center"/>
    </xf>
    <xf numFmtId="0" fontId="6" fillId="4" borderId="0" applyAlignment="1" pivotButton="0" quotePrefix="0" xfId="7">
      <alignment horizontal="right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0" fontId="27" fillId="30" borderId="3" applyAlignment="1" pivotButton="0" quotePrefix="0" xfId="7">
      <alignment horizontal="center" vertical="center" wrapText="1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0" fontId="29" fillId="26" borderId="0" pivotButton="0" quotePrefix="0" xfId="7"/>
    <xf numFmtId="0" fontId="6" fillId="7" borderId="3" applyAlignment="1" pivotButton="0" quotePrefix="0" xfId="7">
      <alignment horizontal="right" vertical="center"/>
    </xf>
    <xf numFmtId="0" fontId="8" fillId="7" borderId="4" applyAlignment="1" pivotButton="0" quotePrefix="0" xfId="7">
      <alignment vertical="center"/>
    </xf>
    <xf numFmtId="164" fontId="8" fillId="7" borderId="5" applyAlignment="1" pivotButton="0" quotePrefix="0" xfId="7">
      <alignment horizontal="center" vertical="center"/>
    </xf>
    <xf numFmtId="0" fontId="9" fillId="7" borderId="3" applyAlignment="1" pivotButton="0" quotePrefix="0" xfId="7">
      <alignment vertical="center"/>
    </xf>
    <xf numFmtId="0" fontId="5" fillId="7" borderId="4" applyAlignment="1" pivotButton="0" quotePrefix="0" xfId="7">
      <alignment vertical="center"/>
    </xf>
    <xf numFmtId="167" fontId="8" fillId="24" borderId="2" applyAlignment="1" pivotButton="0" quotePrefix="0" xfId="7">
      <alignment horizontal="center" vertical="center"/>
    </xf>
    <xf numFmtId="0" fontId="6" fillId="8" borderId="3" applyAlignment="1" pivotButton="0" quotePrefix="0" xfId="7">
      <alignment horizontal="right" vertical="center"/>
    </xf>
    <xf numFmtId="0" fontId="8" fillId="8" borderId="3" applyAlignment="1" pivotButton="0" quotePrefix="0" xfId="7">
      <alignment vertical="center"/>
    </xf>
    <xf numFmtId="0" fontId="8" fillId="8" borderId="4" applyAlignment="1" pivotButton="0" quotePrefix="0" xfId="7">
      <alignment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0" fontId="6" fillId="21" borderId="13" applyAlignment="1" pivotButton="0" quotePrefix="0" xfId="7">
      <alignment horizontal="right" vertical="center"/>
    </xf>
    <xf numFmtId="0" fontId="8" fillId="21" borderId="31" applyAlignment="1" pivotButton="0" quotePrefix="0" xfId="7">
      <alignment vertical="center"/>
    </xf>
    <xf numFmtId="164" fontId="8" fillId="21" borderId="32" applyAlignment="1" pivotButton="0" quotePrefix="0" xfId="7">
      <alignment horizontal="center" vertical="center"/>
    </xf>
    <xf numFmtId="0" fontId="6" fillId="21" borderId="3" applyAlignment="1" pivotButton="0" quotePrefix="0" xfId="7">
      <alignment vertical="center"/>
    </xf>
    <xf numFmtId="0" fontId="8" fillId="21" borderId="4" applyAlignment="1" pivotButton="0" quotePrefix="0" xfId="7">
      <alignment vertical="center"/>
    </xf>
    <xf numFmtId="167" fontId="8" fillId="17" borderId="2" applyAlignment="1" pivotButton="0" quotePrefix="0" xfId="7">
      <alignment horizontal="center" vertical="center"/>
    </xf>
    <xf numFmtId="0" fontId="6" fillId="10" borderId="13" applyAlignment="1" pivotButton="0" quotePrefix="0" xfId="7">
      <alignment horizontal="right" vertical="center" wrapText="1"/>
    </xf>
    <xf numFmtId="0" fontId="5" fillId="10" borderId="31" applyAlignment="1" pivotButton="0" quotePrefix="0" xfId="7">
      <alignment horizontal="left" vertical="center"/>
    </xf>
    <xf numFmtId="0" fontId="8" fillId="10" borderId="31" applyAlignment="1" pivotButton="0" quotePrefix="0" xfId="7">
      <alignment vertical="center"/>
    </xf>
    <xf numFmtId="164" fontId="8" fillId="10" borderId="32" applyAlignment="1" pivotButton="0" quotePrefix="0" xfId="7">
      <alignment horizontal="center" vertical="center"/>
    </xf>
    <xf numFmtId="0" fontId="9" fillId="10" borderId="3" applyAlignment="1" pivotButton="0" quotePrefix="0" xfId="7">
      <alignment vertical="center"/>
    </xf>
    <xf numFmtId="0" fontId="5" fillId="10" borderId="4" applyAlignment="1" pivotButton="0" quotePrefix="0" xfId="7">
      <alignment vertical="center"/>
    </xf>
    <xf numFmtId="167" fontId="8" fillId="29" borderId="2" applyAlignment="1" pivotButton="0" quotePrefix="0" xfId="7">
      <alignment horizontal="center" vertical="center"/>
    </xf>
    <xf numFmtId="0" fontId="6" fillId="11" borderId="3" applyAlignment="1" pivotButton="0" quotePrefix="0" xfId="7">
      <alignment horizontal="right" vertical="center"/>
    </xf>
    <xf numFmtId="0" fontId="5" fillId="11" borderId="4" applyAlignment="1" pivotButton="0" quotePrefix="0" xfId="7">
      <alignment vertical="center"/>
    </xf>
    <xf numFmtId="0" fontId="8" fillId="11" borderId="4" applyAlignment="1" pivotButton="0" quotePrefix="0" xfId="7">
      <alignment vertical="center"/>
    </xf>
    <xf numFmtId="164" fontId="8" fillId="11" borderId="5" applyAlignment="1" pivotButton="0" quotePrefix="0" xfId="7">
      <alignment horizontal="center" vertical="center"/>
    </xf>
    <xf numFmtId="0" fontId="9" fillId="11" borderId="3" applyAlignment="1" pivotButton="0" quotePrefix="0" xfId="7">
      <alignment vertical="center"/>
    </xf>
    <xf numFmtId="167" fontId="8" fillId="21" borderId="2" applyAlignment="1" pivotButton="0" quotePrefix="0" xfId="7">
      <alignment horizontal="center" vertical="center"/>
    </xf>
    <xf numFmtId="0" fontId="6" fillId="13" borderId="3" applyAlignment="1" pivotButton="0" quotePrefix="0" xfId="7">
      <alignment horizontal="right" vertical="center"/>
    </xf>
    <xf numFmtId="0" fontId="8" fillId="13" borderId="4" applyAlignment="1" pivotButton="0" quotePrefix="0" xfId="7">
      <alignment vertical="center"/>
    </xf>
    <xf numFmtId="164" fontId="8" fillId="13" borderId="5" applyAlignment="1" pivotButton="0" quotePrefix="0" xfId="7">
      <alignment horizontal="center" vertical="center"/>
    </xf>
    <xf numFmtId="0" fontId="9" fillId="13" borderId="3" applyAlignment="1" pivotButton="0" quotePrefix="0" xfId="7">
      <alignment vertical="center"/>
    </xf>
    <xf numFmtId="0" fontId="5" fillId="13" borderId="4" applyAlignment="1" pivotButton="0" quotePrefix="0" xfId="7">
      <alignment vertical="center"/>
    </xf>
    <xf numFmtId="167" fontId="8" fillId="23" borderId="2" applyAlignment="1" pivotButton="0" quotePrefix="0" xfId="7">
      <alignment horizontal="center" vertical="center"/>
    </xf>
    <xf numFmtId="0" fontId="6" fillId="15" borderId="3" applyAlignment="1" pivotButton="0" quotePrefix="0" xfId="7">
      <alignment horizontal="right" vertical="center"/>
    </xf>
    <xf numFmtId="0" fontId="8" fillId="15" borderId="4" applyAlignment="1" pivotButton="0" quotePrefix="0" xfId="7">
      <alignment vertical="center"/>
    </xf>
    <xf numFmtId="164" fontId="8" fillId="15" borderId="5" applyAlignment="1" pivotButton="0" quotePrefix="0" xfId="7">
      <alignment horizontal="center" vertical="center"/>
    </xf>
    <xf numFmtId="0" fontId="9" fillId="15" borderId="3" applyAlignment="1" pivotButton="0" quotePrefix="0" xfId="7">
      <alignment vertical="center"/>
    </xf>
    <xf numFmtId="0" fontId="5" fillId="15" borderId="4" applyAlignment="1" pivotButton="0" quotePrefix="0" xfId="7">
      <alignment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0" fontId="6" fillId="22" borderId="3" applyAlignment="1" pivotButton="0" quotePrefix="0" xfId="7">
      <alignment horizontal="right" vertical="center"/>
    </xf>
    <xf numFmtId="0" fontId="8" fillId="22" borderId="4" applyAlignment="1" pivotButton="0" quotePrefix="0" xfId="7">
      <alignment vertical="center"/>
    </xf>
    <xf numFmtId="164" fontId="8" fillId="22" borderId="5" applyAlignment="1" pivotButton="0" quotePrefix="0" xfId="7">
      <alignment horizontal="center" vertical="center"/>
    </xf>
    <xf numFmtId="0" fontId="9" fillId="22" borderId="3" applyAlignment="1" pivotButton="0" quotePrefix="0" xfId="7">
      <alignment vertical="center"/>
    </xf>
    <xf numFmtId="0" fontId="5" fillId="22" borderId="4" applyAlignment="1" pivotButton="0" quotePrefix="0" xfId="7">
      <alignment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30" fillId="4" borderId="0" applyAlignment="1" pivotButton="0" quotePrefix="0" xfId="7">
      <alignment vertical="center"/>
    </xf>
    <xf numFmtId="0" fontId="9" fillId="8" borderId="0" pivotButton="0" quotePrefix="0" xfId="7"/>
    <xf numFmtId="0" fontId="5" fillId="8" borderId="0" pivotButton="0" quotePrefix="0" xfId="7"/>
    <xf numFmtId="164" fontId="5" fillId="8" borderId="0" pivotButton="0" quotePrefix="0" xfId="7"/>
    <xf numFmtId="0" fontId="16" fillId="4" borderId="0" applyAlignment="1" pivotButton="0" quotePrefix="0" xfId="7">
      <alignment vertical="center"/>
    </xf>
    <xf numFmtId="167" fontId="13" fillId="8" borderId="2" applyAlignment="1" pivotButton="0" quotePrefix="0" xfId="7">
      <alignment horizontal="center" vertical="center"/>
    </xf>
    <xf numFmtId="0" fontId="5" fillId="4" borderId="0" applyAlignment="1" pivotButton="0" quotePrefix="0" xfId="7">
      <alignment vertical="center"/>
    </xf>
    <xf numFmtId="0" fontId="29" fillId="4" borderId="0" applyAlignment="1" pivotButton="0" quotePrefix="0" xfId="7">
      <alignment vertical="center"/>
    </xf>
    <xf numFmtId="0" fontId="6" fillId="7" borderId="14" applyAlignment="1" pivotButton="0" quotePrefix="0" xfId="7">
      <alignment horizontal="center" vertical="center"/>
    </xf>
    <xf numFmtId="0" fontId="6" fillId="7" borderId="37" applyAlignment="1" pivotButton="0" quotePrefix="0" xfId="7">
      <alignment horizontal="center" vertical="center"/>
    </xf>
    <xf numFmtId="0" fontId="6" fillId="7" borderId="21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0" fontId="9" fillId="8" borderId="22" applyAlignment="1" pivotButton="0" quotePrefix="0" xfId="7">
      <alignment horizontal="center" vertical="center"/>
    </xf>
    <xf numFmtId="14" fontId="9" fillId="8" borderId="1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0" fontId="13" fillId="4" borderId="0" applyAlignment="1" pivotButton="0" quotePrefix="0" xfId="7">
      <alignment horizontal="center" vertical="center"/>
    </xf>
    <xf numFmtId="0" fontId="31" fillId="4" borderId="0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0" fontId="9" fillId="8" borderId="15" applyAlignment="1" pivotButton="0" quotePrefix="0" xfId="7">
      <alignment horizontal="center" vertical="center"/>
    </xf>
    <xf numFmtId="14" fontId="9" fillId="8" borderId="20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49" fontId="5" fillId="4" borderId="0" pivotButton="0" quotePrefix="0" xfId="7"/>
    <xf numFmtId="0" fontId="8" fillId="23" borderId="0" applyAlignment="1" pivotButton="0" quotePrefix="0" xfId="4">
      <alignment horizontal="center" vertical="center"/>
    </xf>
    <xf numFmtId="0" fontId="5" fillId="4" borderId="0" applyAlignment="1" pivotButton="0" quotePrefix="0" xfId="4">
      <alignment horizontal="center"/>
    </xf>
    <xf numFmtId="0" fontId="8" fillId="25" borderId="0" applyAlignment="1" pivotButton="0" quotePrefix="0" xfId="4">
      <alignment horizontal="right" vertical="center" wrapText="1"/>
    </xf>
    <xf numFmtId="0" fontId="11" fillId="4" borderId="0" pivotButton="0" quotePrefix="0" xfId="4"/>
    <xf numFmtId="16" fontId="16" fillId="10" borderId="0" applyAlignment="1" pivotButton="0" quotePrefix="0" xfId="4">
      <alignment horizontal="center" vertical="center"/>
    </xf>
    <xf numFmtId="0" fontId="7" fillId="26" borderId="2" applyAlignment="1" pivotButton="0" quotePrefix="0" xfId="4">
      <alignment horizontal="center" vertical="center"/>
    </xf>
    <xf numFmtId="0" fontId="0" fillId="0" borderId="30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32" pivotButton="0" quotePrefix="0" xfId="0"/>
    <xf numFmtId="167" fontId="8" fillId="35" borderId="16" applyAlignment="1" pivotButton="0" quotePrefix="0" xfId="4">
      <alignment horizontal="center" vertical="center"/>
    </xf>
    <xf numFmtId="0" fontId="0" fillId="0" borderId="10" pivotButton="0" quotePrefix="0" xfId="0"/>
    <xf numFmtId="0" fontId="8" fillId="17" borderId="0" applyAlignment="1" pivotButton="0" quotePrefix="0" xfId="4">
      <alignment horizontal="center" vertical="center"/>
    </xf>
    <xf numFmtId="0" fontId="8" fillId="24" borderId="3" applyAlignment="1" pivotButton="0" quotePrefix="0" xfId="4">
      <alignment horizontal="right" vertical="center"/>
    </xf>
    <xf numFmtId="0" fontId="0" fillId="0" borderId="4" pivotButton="0" quotePrefix="0" xfId="0"/>
    <xf numFmtId="1" fontId="16" fillId="5" borderId="0" applyAlignment="1" pivotButton="0" quotePrefix="0" xfId="4">
      <alignment horizontal="center" vertical="center"/>
    </xf>
    <xf numFmtId="0" fontId="9" fillId="4" borderId="0" pivotButton="0" quotePrefix="0" xfId="4"/>
    <xf numFmtId="167" fontId="26" fillId="35" borderId="10" applyAlignment="1" pivotButton="0" quotePrefix="0" xfId="4">
      <alignment horizontal="center" vertical="center" wrapText="1"/>
    </xf>
    <xf numFmtId="0" fontId="8" fillId="17" borderId="0" applyAlignment="1" pivotButton="0" quotePrefix="0" xfId="4">
      <alignment horizontal="center" vertical="center" wrapText="1"/>
    </xf>
    <xf numFmtId="1" fontId="16" fillId="10" borderId="0" applyAlignment="1" pivotButton="0" quotePrefix="0" xfId="4">
      <alignment horizontal="center" vertical="center"/>
    </xf>
    <xf numFmtId="0" fontId="8" fillId="18" borderId="0" applyAlignment="1" pivotButton="0" quotePrefix="0" xfId="4">
      <alignment horizontal="right" vertical="center" wrapText="1"/>
    </xf>
    <xf numFmtId="16" fontId="16" fillId="5" borderId="0" applyAlignment="1" pivotButton="0" quotePrefix="0" xfId="4">
      <alignment horizontal="center" vertical="center"/>
    </xf>
    <xf numFmtId="0" fontId="8" fillId="14" borderId="0" applyAlignment="1" pivotButton="0" quotePrefix="0" xfId="4">
      <alignment horizontal="right" vertical="center" wrapText="1"/>
    </xf>
    <xf numFmtId="0" fontId="16" fillId="26" borderId="0" applyAlignment="1" pivotButton="0" quotePrefix="0" xfId="4">
      <alignment horizontal="right" vertical="center" wrapText="1"/>
    </xf>
    <xf numFmtId="1" fontId="16" fillId="5" borderId="0" applyAlignment="1" applyProtection="1" pivotButton="0" quotePrefix="0" xfId="4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8" fillId="14" borderId="2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8" fillId="6" borderId="14" applyAlignment="1" pivotButton="0" quotePrefix="0" xfId="2">
      <alignment horizontal="center" vertical="center"/>
    </xf>
    <xf numFmtId="0" fontId="0" fillId="0" borderId="48" pivotButton="0" quotePrefix="0" xfId="0"/>
    <xf numFmtId="0" fontId="0" fillId="0" borderId="11" pivotButton="0" quotePrefix="0" xfId="0"/>
    <xf numFmtId="0" fontId="0" fillId="0" borderId="45" pivotButton="0" quotePrefix="0" xfId="0"/>
    <xf numFmtId="173" fontId="8" fillId="6" borderId="22" applyAlignment="1" pivotButton="0" quotePrefix="0" xfId="2">
      <alignment horizontal="center" vertical="center"/>
    </xf>
    <xf numFmtId="0" fontId="0" fillId="0" borderId="46" pivotButton="0" quotePrefix="0" xfId="0"/>
    <xf numFmtId="173" fontId="8" fillId="6" borderId="7" applyAlignment="1" pivotButton="0" quotePrefix="0" xfId="2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8" fillId="25" borderId="2" applyAlignment="1" pivotButton="0" quotePrefix="0" xfId="0">
      <alignment horizontal="center" vertical="center"/>
    </xf>
    <xf numFmtId="0" fontId="8" fillId="20" borderId="13" applyAlignment="1" pivotButton="0" quotePrefix="0" xfId="0">
      <alignment horizontal="center" vertical="center"/>
    </xf>
    <xf numFmtId="0" fontId="8" fillId="6" borderId="2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8" fillId="19" borderId="3" applyAlignment="1" pivotButton="0" quotePrefix="0" xfId="0">
      <alignment horizontal="center" vertical="center"/>
    </xf>
    <xf numFmtId="173" fontId="8" fillId="6" borderId="15" applyAlignment="1" pivotButton="0" quotePrefix="0" xfId="2">
      <alignment horizontal="center" vertical="center"/>
    </xf>
    <xf numFmtId="0" fontId="0" fillId="0" borderId="25" pivotButton="0" quotePrefix="0" xfId="0"/>
    <xf numFmtId="0" fontId="8" fillId="20" borderId="49" applyAlignment="1" pivotButton="0" quotePrefix="0" xfId="0">
      <alignment horizontal="center" vertical="center"/>
    </xf>
    <xf numFmtId="0" fontId="8" fillId="15" borderId="3" applyAlignment="1" pivotButton="0" quotePrefix="0" xfId="8">
      <alignment horizontal="right" vertical="center"/>
    </xf>
    <xf numFmtId="0" fontId="8" fillId="18" borderId="2" applyAlignment="1" pivotButton="0" quotePrefix="0" xfId="8">
      <alignment horizontal="center" vertical="center"/>
    </xf>
    <xf numFmtId="0" fontId="8" fillId="13" borderId="3" applyAlignment="1" pivotButton="0" quotePrefix="0" xfId="8">
      <alignment horizontal="right" vertical="center"/>
    </xf>
    <xf numFmtId="0" fontId="8" fillId="22" borderId="3" applyAlignment="1" pivotButton="0" quotePrefix="0" xfId="8">
      <alignment horizontal="right" vertical="center"/>
    </xf>
    <xf numFmtId="0" fontId="8" fillId="21" borderId="3" applyAlignment="1" pivotButton="0" quotePrefix="0" xfId="8">
      <alignment horizontal="right" vertical="center"/>
    </xf>
    <xf numFmtId="0" fontId="8" fillId="11" borderId="3" applyAlignment="1" pivotButton="0" quotePrefix="0" xfId="8">
      <alignment horizontal="right" vertical="center"/>
    </xf>
    <xf numFmtId="0" fontId="8" fillId="8" borderId="3" applyAlignment="1" pivotButton="0" quotePrefix="0" xfId="8">
      <alignment horizontal="right" vertical="center"/>
    </xf>
    <xf numFmtId="0" fontId="8" fillId="10" borderId="13" applyAlignment="1" pivotButton="0" quotePrefix="0" xfId="8">
      <alignment horizontal="right" vertical="center"/>
    </xf>
    <xf numFmtId="0" fontId="0" fillId="0" borderId="31" pivotButton="0" quotePrefix="0" xfId="0"/>
    <xf numFmtId="0" fontId="8" fillId="27" borderId="2" applyAlignment="1" pivotButton="0" quotePrefix="0" xfId="4">
      <alignment horizontal="center" vertical="center"/>
    </xf>
    <xf numFmtId="0" fontId="0" fillId="0" borderId="24" pivotButton="0" quotePrefix="0" xfId="0"/>
    <xf numFmtId="0" fontId="12" fillId="13" borderId="3" applyAlignment="1" pivotButton="0" quotePrefix="0" xfId="4">
      <alignment horizontal="center" vertical="center"/>
    </xf>
    <xf numFmtId="0" fontId="7" fillId="14" borderId="3" applyAlignment="1" pivotButton="0" quotePrefix="0" xfId="4">
      <alignment horizontal="center" vertical="center"/>
    </xf>
    <xf numFmtId="0" fontId="13" fillId="8" borderId="2" applyAlignment="1" pivotButton="0" quotePrefix="0" xfId="7">
      <alignment horizontal="center" vertical="center"/>
    </xf>
    <xf numFmtId="0" fontId="38" fillId="8" borderId="4" pivotButton="0" quotePrefix="0" xfId="0"/>
    <xf numFmtId="0" fontId="38" fillId="8" borderId="5" pivotButton="0" quotePrefix="0" xfId="0"/>
    <xf numFmtId="0" fontId="8" fillId="15" borderId="2" applyAlignment="1" pivotButton="0" quotePrefix="0" xfId="7">
      <alignment horizontal="center" vertical="center"/>
    </xf>
    <xf numFmtId="0" fontId="0" fillId="3" borderId="5" applyAlignment="1" pivotButton="0" quotePrefix="0" xfId="0">
      <alignment horizontal="left" vertical="center"/>
    </xf>
    <xf numFmtId="0" fontId="6" fillId="24" borderId="2" applyAlignment="1" pivotButton="0" quotePrefix="0" xfId="7">
      <alignment horizontal="center" vertical="center"/>
    </xf>
    <xf numFmtId="1" fontId="20" fillId="18" borderId="2" applyAlignment="1" pivotButton="0" quotePrefix="0" xfId="7">
      <alignment horizontal="left" vertical="center"/>
    </xf>
    <xf numFmtId="0" fontId="8" fillId="7" borderId="2" applyAlignment="1" pivotButton="0" quotePrefix="0" xfId="7">
      <alignment horizontal="center" vertical="center"/>
    </xf>
    <xf numFmtId="0" fontId="8" fillId="15" borderId="3" applyAlignment="1" pivotButton="0" quotePrefix="0" xfId="7">
      <alignment horizontal="center" vertical="center"/>
    </xf>
    <xf numFmtId="0" fontId="8" fillId="15" borderId="4" applyAlignment="1" pivotButton="0" quotePrefix="0" xfId="7">
      <alignment horizontal="center" vertical="center"/>
    </xf>
    <xf numFmtId="0" fontId="8" fillId="15" borderId="5" applyAlignment="1" pivotButton="0" quotePrefix="0" xfId="7">
      <alignment horizontal="center" vertical="center"/>
    </xf>
    <xf numFmtId="0" fontId="8" fillId="24" borderId="3" applyAlignment="1" pivotButton="0" quotePrefix="0" xfId="7">
      <alignment horizontal="center" vertical="center"/>
    </xf>
    <xf numFmtId="0" fontId="8" fillId="24" borderId="4" applyAlignment="1" pivotButton="0" quotePrefix="0" xfId="7">
      <alignment horizontal="center" vertical="center"/>
    </xf>
    <xf numFmtId="0" fontId="8" fillId="24" borderId="5" applyAlignment="1" pivotButton="0" quotePrefix="0" xfId="7">
      <alignment horizontal="center" vertical="center"/>
    </xf>
    <xf numFmtId="14" fontId="20" fillId="8" borderId="2" applyAlignment="1" pivotButton="0" quotePrefix="0" xfId="7">
      <alignment horizontal="left" vertical="center"/>
    </xf>
    <xf numFmtId="0" fontId="28" fillId="32" borderId="2" applyAlignment="1" pivotButton="0" quotePrefix="0" xfId="4">
      <alignment horizontal="center" vertical="center" wrapText="1"/>
    </xf>
    <xf numFmtId="0" fontId="20" fillId="30" borderId="2" applyAlignment="1" pivotButton="0" quotePrefix="0" xfId="7">
      <alignment horizontal="left" vertical="center"/>
    </xf>
    <xf numFmtId="0" fontId="5" fillId="8" borderId="5" applyAlignment="1" pivotButton="0" quotePrefix="0" xfId="7">
      <alignment horizontal="left" vertical="center" wrapText="1"/>
    </xf>
    <xf numFmtId="14" fontId="20" fillId="25" borderId="2" applyAlignment="1" pivotButton="0" quotePrefix="0" xfId="7">
      <alignment horizontal="left" vertical="center"/>
    </xf>
    <xf numFmtId="0" fontId="25" fillId="26" borderId="2" applyAlignment="1" pivotButton="0" quotePrefix="0" xfId="4">
      <alignment horizontal="center" vertical="center"/>
    </xf>
    <xf numFmtId="0" fontId="15" fillId="35" borderId="0" applyAlignment="1" pivotButton="0" quotePrefix="0" xfId="4">
      <alignment horizontal="center" vertical="center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3" fontId="8" fillId="6" borderId="7" applyAlignment="1" pivotButton="0" quotePrefix="0" xfId="2">
      <alignment horizontal="center" vertical="center"/>
    </xf>
    <xf numFmtId="173" fontId="8" fillId="6" borderId="22" applyAlignment="1" pivotButton="0" quotePrefix="0" xfId="2">
      <alignment horizontal="center" vertical="center"/>
    </xf>
    <xf numFmtId="173" fontId="8" fillId="6" borderId="15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172" fontId="17" fillId="4" borderId="0" applyAlignment="1" pivotButton="0" quotePrefix="0" xfId="0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167" fontId="6" fillId="4" borderId="0" applyAlignment="1" pivotButton="0" quotePrefix="0" xfId="8">
      <alignment vertical="center"/>
    </xf>
    <xf numFmtId="167" fontId="15" fillId="4" borderId="0" applyAlignment="1" pivotButton="0" quotePrefix="0" xfId="8">
      <alignment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pivotButton="0" quotePrefix="0" xfId="8">
      <alignment horizontal="center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pivotButton="0" quotePrefix="0" xfId="8">
      <alignment horizontal="center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167" fontId="8" fillId="15" borderId="2" applyAlignment="1" pivotButton="0" quotePrefix="0" xfId="4">
      <alignment horizontal="center" vertical="center"/>
    </xf>
    <xf numFmtId="167" fontId="8" fillId="15" borderId="2" applyAlignment="1" pivotButton="0" quotePrefix="0" xfId="0">
      <alignment horizontal="center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8" fillId="8" borderId="3" applyAlignment="1" pivotButton="0" quotePrefix="0" xfId="4">
      <alignment horizontal="center" vertical="center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8" fillId="8" borderId="10" applyAlignment="1" pivotButton="0" quotePrefix="0" xfId="0">
      <alignment horizontal="center" vertical="center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167" fontId="5" fillId="25" borderId="1" applyAlignment="1" pivotButton="0" quotePrefix="0" xfId="4">
      <alignment horizontal="center" vertical="center"/>
    </xf>
    <xf numFmtId="167" fontId="5" fillId="25" borderId="1" applyAlignment="1" pivotButton="0" quotePrefix="0" xfId="0">
      <alignment horizontal="center" vertical="center"/>
    </xf>
    <xf numFmtId="164" fontId="5" fillId="4" borderId="0" pivotButton="0" quotePrefix="0" xfId="7"/>
    <xf numFmtId="164" fontId="19" fillId="4" borderId="0" applyAlignment="1" pivotButton="0" quotePrefix="0" xfId="5">
      <alignment vertical="center"/>
    </xf>
    <xf numFmtId="167" fontId="8" fillId="18" borderId="2" applyAlignment="1" pivotButton="0" quotePrefix="0" xfId="7">
      <alignment horizontal="center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164" fontId="8" fillId="7" borderId="5" applyAlignment="1" pivotButton="0" quotePrefix="0" xfId="7">
      <alignment horizontal="center" vertical="center"/>
    </xf>
    <xf numFmtId="167" fontId="8" fillId="24" borderId="2" applyAlignment="1" pivotButton="0" quotePrefix="0" xfId="7">
      <alignment horizontal="center"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164" fontId="8" fillId="21" borderId="32" applyAlignment="1" pivotButton="0" quotePrefix="0" xfId="7">
      <alignment horizontal="center" vertical="center"/>
    </xf>
    <xf numFmtId="167" fontId="8" fillId="17" borderId="2" applyAlignment="1" pivotButton="0" quotePrefix="0" xfId="7">
      <alignment horizontal="center" vertical="center"/>
    </xf>
    <xf numFmtId="164" fontId="8" fillId="10" borderId="32" applyAlignment="1" pivotButton="0" quotePrefix="0" xfId="7">
      <alignment horizontal="center" vertical="center"/>
    </xf>
    <xf numFmtId="167" fontId="8" fillId="29" borderId="2" applyAlignment="1" pivotButton="0" quotePrefix="0" xfId="7">
      <alignment horizontal="center" vertical="center"/>
    </xf>
    <xf numFmtId="164" fontId="8" fillId="11" borderId="5" applyAlignment="1" pivotButton="0" quotePrefix="0" xfId="7">
      <alignment horizontal="center" vertical="center"/>
    </xf>
    <xf numFmtId="167" fontId="8" fillId="21" borderId="2" applyAlignment="1" pivotButton="0" quotePrefix="0" xfId="7">
      <alignment horizontal="center" vertical="center"/>
    </xf>
    <xf numFmtId="164" fontId="8" fillId="13" borderId="5" applyAlignment="1" pivotButton="0" quotePrefix="0" xfId="7">
      <alignment horizontal="center" vertical="center"/>
    </xf>
    <xf numFmtId="167" fontId="8" fillId="23" borderId="2" applyAlignment="1" pivotButton="0" quotePrefix="0" xfId="7">
      <alignment horizontal="center" vertical="center"/>
    </xf>
    <xf numFmtId="164" fontId="8" fillId="15" borderId="5" applyAlignment="1" pivotButton="0" quotePrefix="0" xfId="7">
      <alignment horizontal="center"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164" fontId="8" fillId="22" borderId="5" applyAlignment="1" pivotButton="0" quotePrefix="0" xfId="7">
      <alignment horizontal="center"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8" fillId="24" borderId="2" applyAlignment="1" pivotButton="0" quotePrefix="0" xfId="7">
      <alignment horizontal="center" vertical="center"/>
    </xf>
    <xf numFmtId="164" fontId="5" fillId="8" borderId="0" pivotButton="0" quotePrefix="0" xfId="7"/>
    <xf numFmtId="167" fontId="13" fillId="8" borderId="2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164" fontId="5" fillId="4" borderId="0" pivotButton="0" quotePrefix="0" xfId="4"/>
    <xf numFmtId="164" fontId="5" fillId="4" borderId="0" applyAlignment="1" pivotButton="0" quotePrefix="0" xfId="4">
      <alignment horizontal="center" vertic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43" fontId="12" fillId="4" borderId="0" applyAlignment="1" pivotButton="0" quotePrefix="0" xfId="4">
      <alignment horizontal="center" vertical="center"/>
    </xf>
    <xf numFmtId="167" fontId="5" fillId="24" borderId="0" applyAlignment="1" pivotButton="0" quotePrefix="0" xfId="4">
      <alignment horizontal="center" vertical="center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167" fontId="5" fillId="8" borderId="0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26" fillId="35" borderId="10" applyAlignment="1" pivotButton="0" quotePrefix="0" xfId="4">
      <alignment horizontal="center" vertical="center" wrapText="1"/>
    </xf>
    <xf numFmtId="167" fontId="8" fillId="35" borderId="16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167" fontId="6" fillId="7" borderId="9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6" fillId="8" borderId="5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38" applyAlignment="1" pivotButton="0" quotePrefix="1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25" borderId="51" applyAlignment="1" pivotButton="0" quotePrefix="0" xfId="4">
      <alignment horizontal="center" vertical="center"/>
    </xf>
    <xf numFmtId="167" fontId="6" fillId="16" borderId="44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70" fontId="6" fillId="4" borderId="0" applyAlignment="1" pivotButton="0" quotePrefix="0" xfId="4">
      <alignment horizontal="center"/>
    </xf>
    <xf numFmtId="169" fontId="6" fillId="16" borderId="53" applyAlignment="1" pivotButton="0" quotePrefix="0" xfId="4">
      <alignment horizontal="center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horizontal="center" vertical="center"/>
    </xf>
    <xf numFmtId="167" fontId="8" fillId="15" borderId="31" applyAlignment="1" pivotButton="0" quotePrefix="0" xfId="4">
      <alignment vertical="center"/>
    </xf>
    <xf numFmtId="167" fontId="8" fillId="35" borderId="13" applyAlignment="1" pivotButton="0" quotePrefix="0" xfId="4">
      <alignment horizontal="center" vertical="center"/>
    </xf>
    <xf numFmtId="169" fontId="6" fillId="30" borderId="16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5" fillId="4" borderId="0" pivotButton="0" quotePrefix="0" xfId="4"/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35" borderId="2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5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10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5" fillId="10" borderId="34" applyAlignment="1" pivotButton="0" quotePrefix="0" xfId="4">
      <alignment horizontal="center" vertical="center"/>
    </xf>
    <xf numFmtId="167" fontId="5" fillId="25" borderId="34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3" applyAlignment="1" pivotButton="0" quotePrefix="0" xfId="4">
      <alignment horizontal="center" vertical="center"/>
    </xf>
    <xf numFmtId="167" fontId="8" fillId="10" borderId="2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4" fontId="13" fillId="4" borderId="0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70" fontId="36" fillId="4" borderId="0" applyAlignment="1" pivotButton="0" quotePrefix="0" xfId="4">
      <alignment horizontal="center"/>
    </xf>
    <xf numFmtId="169" fontId="36" fillId="16" borderId="53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9" fontId="36" fillId="30" borderId="16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7" fontId="17" fillId="16" borderId="44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7" fontId="17" fillId="4" borderId="0" applyAlignment="1" pivotButton="0" quotePrefix="0" xfId="4">
      <alignment horizontal="center"/>
    </xf>
    <xf numFmtId="166" fontId="5" fillId="15" borderId="1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8" fillId="15" borderId="10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37" fillId="15" borderId="0" applyAlignment="1" pivotButton="0" quotePrefix="0" xfId="4">
      <alignment horizont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/>
    </xf>
    <xf numFmtId="165" fontId="5" fillId="9" borderId="20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7" fontId="8" fillId="3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167" fontId="24" fillId="15" borderId="0" applyAlignment="1" pivotButton="0" quotePrefix="0" xfId="4">
      <alignment horizontal="center" vertical="center"/>
    </xf>
    <xf numFmtId="167" fontId="37" fillId="16" borderId="44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  <xf numFmtId="10" fontId="8" fillId="8" borderId="3" applyAlignment="1" pivotButton="0" quotePrefix="0" xfId="4">
      <alignment horizontal="center" vertical="center"/>
    </xf>
  </cellXfs>
  <cellStyles count="9">
    <cellStyle name="Normal" xfId="0" builtinId="0"/>
    <cellStyle name="Heading 1" xfId="1" builtinId="16"/>
    <cellStyle name="Heading 2" xfId="2" builtinId="17"/>
    <cellStyle name="Normal 2" xfId="3"/>
    <cellStyle name="Normal 3" xfId="4"/>
    <cellStyle name="Hyperlink 2" xfId="5"/>
    <cellStyle name="Normal 3 2" xfId="6"/>
    <cellStyle name="Normal 3 2 2" xfId="7"/>
    <cellStyle name="Normal 3 3" xfId="8"/>
  </cellStyles>
  <dxfs count="10"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0" tint="-0.049989318521683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externalLink" Target="/xl/externalLinks/externalLink1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3150" y="1039093"/>
          <a:ext cx="989524" cy="9929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917941</colOff>
      <row>0</row>
      <rowOff>0</rowOff>
    </from>
    <to>
      <col>1</col>
      <colOff>2225723</colOff>
      <row>3</row>
      <rowOff>388285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0767" y="0"/>
          <a:ext cx="1307782" cy="12717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367456</colOff>
      <row>1</row>
      <rowOff>129994</rowOff>
    </from>
    <to>
      <col>8</col>
      <colOff>1747956</colOff>
      <row>3</row>
      <rowOff>364219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387779" y="129994"/>
          <a:ext cx="1380500" cy="13266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3.PLANEJAMENTO/PLANEJAMENTO_GERAL/MAPU_PLANNE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6">
          <cell r="B6">
            <v>315000</v>
          </cell>
          <cell r="C6">
            <v>280000</v>
          </cell>
        </row>
        <row r="7">
          <cell r="B7">
            <v>340000</v>
          </cell>
          <cell r="C7">
            <v>300000</v>
          </cell>
        </row>
        <row r="8">
          <cell r="B8">
            <v>352000</v>
          </cell>
          <cell r="C8">
            <v>320000</v>
          </cell>
        </row>
        <row r="9">
          <cell r="B9">
            <v>432000</v>
          </cell>
          <cell r="C9">
            <v>400000</v>
          </cell>
        </row>
        <row r="12">
          <cell r="B12">
            <v>50000</v>
          </cell>
        </row>
        <row r="32">
          <cell r="B32">
            <v>0.19</v>
          </cell>
        </row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0.05</v>
          </cell>
        </row>
        <row r="34">
          <cell r="B34">
            <v>0.2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codeName="Sheet1">
    <tabColor theme="1" tint="0.1499984740745262"/>
    <outlinePr summaryBelow="1" summaryRight="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width="15" customWidth="1" style="701" min="1" max="1"/>
    <col width="9" customWidth="1" style="701" min="2" max="2"/>
    <col width="21.3984375" customWidth="1" style="701" min="3" max="3"/>
    <col width="23" customWidth="1" style="701" min="4" max="4"/>
    <col width="20.796875" customWidth="1" style="701" min="5" max="5"/>
    <col width="21.59765625" customWidth="1" style="701" min="6" max="6"/>
    <col width="23" customWidth="1" style="701" min="7" max="8"/>
    <col width="24.59765625" customWidth="1" style="701" min="9" max="9"/>
    <col width="21.796875" customWidth="1" style="701" min="10" max="10"/>
    <col width="22.796875" customWidth="1" style="701" min="11" max="11"/>
    <col width="22.19921875" customWidth="1" style="701" min="12" max="12"/>
    <col width="20" customWidth="1" style="701" min="13" max="13"/>
    <col width="21.19921875" customWidth="1" style="701" min="14" max="14"/>
    <col width="20.19921875" customWidth="1" style="701" min="15" max="15"/>
    <col width="17" customWidth="1" style="701" min="16" max="16"/>
    <col width="24" customWidth="1" style="701" min="17" max="17"/>
    <col width="25.59765625" customWidth="1" style="701" min="18" max="18"/>
    <col width="42.59765625" customWidth="1" style="701" min="19" max="19"/>
    <col width="9.19921875" customWidth="1" style="701" min="20" max="35"/>
    <col width="9.19921875" customWidth="1" style="701" min="36" max="16384"/>
  </cols>
  <sheetData>
    <row r="1" ht="54" customHeight="1" s="474" thickBot="1">
      <c r="A1" s="364" t="n"/>
      <c r="B1" s="364" t="n"/>
    </row>
    <row r="2" ht="28" customHeight="1" s="474" thickBot="1">
      <c r="A2" s="697" t="inlineStr">
        <is>
          <t>CHECK IN</t>
        </is>
      </c>
      <c r="B2" s="696" t="n"/>
      <c r="C2" s="742" t="n"/>
      <c r="D2" s="366" t="n"/>
      <c r="E2" s="366" t="n"/>
      <c r="F2" s="367" t="n"/>
      <c r="G2" s="368" t="n"/>
      <c r="H2" s="366" t="n"/>
      <c r="I2" s="369" t="inlineStr">
        <is>
          <t>NIGHTS</t>
        </is>
      </c>
      <c r="J2" s="370">
        <f>C3-C2</f>
        <v/>
      </c>
      <c r="K2" s="685" t="inlineStr">
        <is>
          <t>NOME CLIENTE | PROGRAMA</t>
        </is>
      </c>
      <c r="L2" s="686" t="n"/>
      <c r="M2" s="686" t="n"/>
      <c r="N2" s="686" t="n"/>
      <c r="O2" s="686" t="n"/>
      <c r="P2" s="687" t="n"/>
    </row>
    <row r="3" ht="36" customFormat="1" customHeight="1" s="371" thickBot="1">
      <c r="A3" s="695" t="inlineStr">
        <is>
          <t>CHECK OUT</t>
        </is>
      </c>
      <c r="B3" s="696" t="n"/>
      <c r="C3" s="743" t="n"/>
      <c r="D3" s="304" t="n">
        <v>46305</v>
      </c>
      <c r="E3" s="304" t="n">
        <v>46306</v>
      </c>
      <c r="F3" s="304" t="n">
        <v>46307</v>
      </c>
      <c r="G3" s="304" t="n">
        <v>46308</v>
      </c>
      <c r="H3" s="304" t="n">
        <v>46309</v>
      </c>
      <c r="I3" s="282">
        <f>TEXT(C2,"dd/mm")</f>
        <v/>
      </c>
      <c r="J3" s="282">
        <f>IF(C2+1&lt;=C3,TEXT(C2+1,"DD/MM"),"")</f>
        <v/>
      </c>
      <c r="K3" s="282">
        <f>IF(C2+2&lt;=C3,TEXT(C2+2,"DD/MM"),"")</f>
        <v/>
      </c>
      <c r="L3" s="282">
        <f>IF(C2+3&lt;=C3,TEXT(C2+3,"DD/MM"),"")</f>
        <v/>
      </c>
      <c r="M3" s="282" t="n"/>
      <c r="N3" s="282" t="n"/>
      <c r="O3" s="282" t="n"/>
      <c r="P3" s="319" t="n"/>
    </row>
    <row r="4" ht="33" customHeight="1" s="474" thickBot="1">
      <c r="A4" s="688" t="inlineStr">
        <is>
          <t>TIME</t>
        </is>
      </c>
      <c r="B4" s="689" t="n"/>
      <c r="C4" s="699" t="n"/>
      <c r="D4" s="308" t="inlineStr">
        <is>
          <t>Sat</t>
        </is>
      </c>
      <c r="E4" s="307" t="inlineStr">
        <is>
          <t>Sun</t>
        </is>
      </c>
      <c r="F4" s="307" t="inlineStr">
        <is>
          <t>Mon</t>
        </is>
      </c>
      <c r="G4" s="307" t="inlineStr">
        <is>
          <t>Tue</t>
        </is>
      </c>
      <c r="H4" s="307" t="inlineStr">
        <is>
          <t>Wed</t>
        </is>
      </c>
      <c r="I4" s="305">
        <f>IF(I3&lt;&gt;"",TEXT(C2,"DDD"),"")</f>
        <v/>
      </c>
      <c r="J4" s="305">
        <f>IF(J3&lt;&gt;"",TEXT(C2+1,"DDD"),"")</f>
        <v/>
      </c>
      <c r="K4" s="306">
        <f>IF(K3&lt;&gt;"",TEXT(C2+2,"DDD"),"")</f>
        <v/>
      </c>
      <c r="L4" s="305">
        <f>IF(L3&lt;&gt;"",TEXT(C2+3,"DDD"),"")</f>
        <v/>
      </c>
      <c r="M4" s="280" t="n"/>
      <c r="N4" s="280" t="n"/>
      <c r="O4" s="281" t="n"/>
      <c r="P4" s="320" t="n"/>
    </row>
    <row r="5" ht="50" customHeight="1" s="474" thickBot="1">
      <c r="A5" s="690" t="n"/>
      <c r="B5" s="691" t="n"/>
      <c r="C5" s="670" t="n"/>
      <c r="D5" s="316" t="n"/>
      <c r="E5" s="317" t="n"/>
      <c r="F5" s="317" t="n"/>
      <c r="G5" s="317" t="n"/>
      <c r="H5" s="317" t="n"/>
      <c r="I5" s="317" t="n"/>
      <c r="J5" s="317" t="n"/>
      <c r="K5" s="317" t="n"/>
      <c r="L5" s="317" t="n"/>
      <c r="M5" s="317" t="n"/>
      <c r="N5" s="317" t="n"/>
      <c r="O5" s="317" t="n"/>
      <c r="P5" s="318" t="n"/>
    </row>
    <row r="6" ht="50" customHeight="1" s="474" thickBot="1">
      <c r="A6" s="690" t="n"/>
      <c r="B6" s="691" t="n"/>
      <c r="C6" s="667" t="n"/>
      <c r="D6" s="315" t="n"/>
      <c r="E6" s="315" t="n"/>
      <c r="F6" s="315" t="n"/>
      <c r="G6" s="315" t="n"/>
      <c r="H6" s="315" t="n"/>
      <c r="I6" s="315" t="n"/>
      <c r="J6" s="315" t="n"/>
      <c r="K6" s="315" t="n"/>
      <c r="L6" s="315" t="n"/>
      <c r="M6" s="315" t="n"/>
      <c r="N6" s="315" t="n"/>
      <c r="O6" s="315" t="n"/>
      <c r="P6" s="321" t="n"/>
    </row>
    <row r="7" ht="45" customHeight="1" s="474" thickBot="1">
      <c r="A7" s="744" t="n">
        <v>0.2916666666666667</v>
      </c>
      <c r="B7" s="691" t="n"/>
      <c r="C7" s="698" t="inlineStr">
        <is>
          <t>MORNING</t>
        </is>
      </c>
      <c r="D7" s="314" t="n"/>
      <c r="E7" s="314" t="n"/>
      <c r="F7" s="314" t="n"/>
      <c r="G7" s="313" t="n"/>
      <c r="H7" s="314" t="n"/>
      <c r="I7" s="314" t="n"/>
      <c r="J7" s="314" t="n"/>
      <c r="K7" s="313" t="n"/>
      <c r="L7" s="314" t="n"/>
      <c r="M7" s="314" t="n"/>
      <c r="N7" s="314" t="n"/>
      <c r="O7" s="313" t="n"/>
      <c r="P7" s="322" t="n"/>
    </row>
    <row r="8" ht="45" customHeight="1" s="474">
      <c r="A8" s="745" t="n">
        <v>0.3333333333333333</v>
      </c>
      <c r="B8" s="693" t="n"/>
      <c r="C8" s="665" t="n"/>
      <c r="D8" s="314" t="n"/>
      <c r="E8" s="314" t="n"/>
      <c r="F8" s="314" t="n"/>
      <c r="G8" s="313" t="n"/>
      <c r="H8" s="314" t="n"/>
      <c r="I8" s="314" t="n"/>
      <c r="J8" s="314" t="n"/>
      <c r="K8" s="313" t="n"/>
      <c r="L8" s="314" t="n"/>
      <c r="M8" s="314" t="n"/>
      <c r="N8" s="314" t="n"/>
      <c r="O8" s="313" t="n"/>
      <c r="P8" s="322" t="n"/>
    </row>
    <row r="9" ht="45" customHeight="1" s="474">
      <c r="A9" s="745" t="n">
        <v>0.375</v>
      </c>
      <c r="B9" s="693" t="n"/>
      <c r="C9" s="665" t="n"/>
      <c r="D9" s="314" t="n"/>
      <c r="E9" s="314" t="n"/>
      <c r="F9" s="314" t="n"/>
      <c r="G9" s="313" t="n"/>
      <c r="H9" s="314" t="n"/>
      <c r="I9" s="314" t="n"/>
      <c r="J9" s="314" t="n"/>
      <c r="K9" s="313" t="n"/>
      <c r="L9" s="314" t="n"/>
      <c r="M9" s="314" t="n"/>
      <c r="N9" s="314" t="n"/>
      <c r="O9" s="313" t="n"/>
      <c r="P9" s="322" t="n"/>
    </row>
    <row r="10" ht="45" customHeight="1" s="474">
      <c r="A10" s="745" t="n">
        <v>0.4166666666666667</v>
      </c>
      <c r="B10" s="693" t="n"/>
      <c r="C10" s="665" t="n"/>
      <c r="D10" s="314" t="n"/>
      <c r="E10" s="313" t="n"/>
      <c r="F10" s="314" t="n"/>
      <c r="G10" s="313" t="n"/>
      <c r="H10" s="314" t="n"/>
      <c r="I10" s="313" t="n"/>
      <c r="J10" s="314" t="n"/>
      <c r="K10" s="313" t="n"/>
      <c r="L10" s="314" t="n"/>
      <c r="M10" s="313" t="n"/>
      <c r="N10" s="314" t="n"/>
      <c r="O10" s="313" t="n"/>
      <c r="P10" s="322" t="n"/>
    </row>
    <row r="11" ht="45" customHeight="1" s="474">
      <c r="A11" s="745" t="n">
        <v>0.4583333333333333</v>
      </c>
      <c r="B11" s="693" t="n"/>
      <c r="C11" s="665" t="n"/>
      <c r="D11" s="314" t="n"/>
      <c r="E11" s="313" t="n"/>
      <c r="F11" s="314" t="n"/>
      <c r="G11" s="313" t="n"/>
      <c r="H11" s="314" t="n"/>
      <c r="I11" s="313" t="n"/>
      <c r="J11" s="314" t="n"/>
      <c r="K11" s="313" t="n"/>
      <c r="L11" s="314" t="n"/>
      <c r="M11" s="313" t="n"/>
      <c r="N11" s="314" t="n"/>
      <c r="O11" s="313" t="n"/>
      <c r="P11" s="322" t="n"/>
    </row>
    <row r="12" ht="45" customHeight="1" s="474" thickBot="1">
      <c r="A12" s="745" t="n">
        <v>0.5</v>
      </c>
      <c r="B12" s="693" t="n"/>
      <c r="C12" s="667" t="n"/>
      <c r="D12" s="314" t="n"/>
      <c r="E12" s="313" t="n"/>
      <c r="F12" s="314" t="n"/>
      <c r="G12" s="313" t="n"/>
      <c r="H12" s="314" t="n"/>
      <c r="I12" s="313" t="n"/>
      <c r="J12" s="314" t="n"/>
      <c r="K12" s="313" t="n"/>
      <c r="L12" s="314" t="n"/>
      <c r="M12" s="313" t="n"/>
      <c r="N12" s="314" t="n"/>
      <c r="O12" s="313" t="n"/>
      <c r="P12" s="322" t="n"/>
    </row>
    <row r="13" ht="41" customHeight="1" s="474" thickBot="1">
      <c r="A13" s="745" t="n">
        <v>0.5208333333333334</v>
      </c>
      <c r="B13" s="693" t="n"/>
      <c r="C13" s="374" t="inlineStr">
        <is>
          <t>LUNCH TIME</t>
        </is>
      </c>
      <c r="D13" s="314" t="n"/>
      <c r="E13" s="313" t="n"/>
      <c r="F13" s="314" t="n"/>
      <c r="G13" s="313" t="n"/>
      <c r="H13" s="314" t="n"/>
      <c r="I13" s="313" t="n"/>
      <c r="J13" s="314" t="n"/>
      <c r="K13" s="313" t="n"/>
      <c r="L13" s="314" t="n"/>
      <c r="M13" s="313" t="n"/>
      <c r="N13" s="314" t="n"/>
      <c r="O13" s="313" t="n"/>
      <c r="P13" s="322" t="n"/>
    </row>
    <row r="14" ht="58" customHeight="1" s="474" thickBot="1">
      <c r="A14" s="745" t="n">
        <v>0.5833333333333334</v>
      </c>
      <c r="B14" s="693" t="n"/>
      <c r="C14" s="702" t="inlineStr">
        <is>
          <t>AFTERNOON</t>
        </is>
      </c>
      <c r="D14" s="314" t="n"/>
      <c r="E14" s="313" t="n"/>
      <c r="F14" s="314" t="n"/>
      <c r="G14" s="313" t="n"/>
      <c r="H14" s="314" t="n"/>
      <c r="I14" s="313" t="n"/>
      <c r="J14" s="314" t="n"/>
      <c r="K14" s="313" t="n"/>
      <c r="L14" s="314" t="n"/>
      <c r="M14" s="313" t="n"/>
      <c r="N14" s="314" t="n"/>
      <c r="O14" s="313" t="n"/>
      <c r="P14" s="322" t="n"/>
    </row>
    <row r="15" ht="45" customHeight="1" s="474">
      <c r="A15" s="745" t="n">
        <v>0.625</v>
      </c>
      <c r="B15" s="693" t="n"/>
      <c r="C15" s="665" t="n"/>
      <c r="D15" s="314" t="n"/>
      <c r="E15" s="313" t="n"/>
      <c r="F15" s="314" t="n"/>
      <c r="G15" s="313" t="n"/>
      <c r="H15" s="314" t="n"/>
      <c r="I15" s="313" t="n"/>
      <c r="J15" s="314" t="n"/>
      <c r="K15" s="313" t="n"/>
      <c r="L15" s="314" t="n"/>
      <c r="M15" s="313" t="n"/>
      <c r="N15" s="314" t="n"/>
      <c r="O15" s="313" t="n"/>
      <c r="P15" s="322" t="n"/>
    </row>
    <row r="16" ht="45" customHeight="1" s="474">
      <c r="A16" s="745" t="n">
        <v>0.6666666666666666</v>
      </c>
      <c r="B16" s="693" t="n"/>
      <c r="C16" s="665" t="n"/>
      <c r="D16" s="314" t="n"/>
      <c r="E16" s="313" t="n"/>
      <c r="F16" s="314" t="n"/>
      <c r="G16" s="313" t="n"/>
      <c r="H16" s="314" t="n"/>
      <c r="I16" s="313" t="n"/>
      <c r="J16" s="314" t="n"/>
      <c r="K16" s="313" t="n"/>
      <c r="L16" s="314" t="n"/>
      <c r="M16" s="313" t="n"/>
      <c r="N16" s="314" t="n"/>
      <c r="O16" s="313" t="n"/>
      <c r="P16" s="322" t="n"/>
    </row>
    <row r="17" ht="45" customHeight="1" s="474">
      <c r="A17" s="745" t="n">
        <v>0.7083333333333334</v>
      </c>
      <c r="B17" s="693" t="n"/>
      <c r="C17" s="665" t="n"/>
      <c r="D17" s="314" t="n"/>
      <c r="E17" s="313" t="n"/>
      <c r="F17" s="314" t="n"/>
      <c r="G17" s="313" t="n"/>
      <c r="H17" s="314" t="n"/>
      <c r="I17" s="313" t="n"/>
      <c r="J17" s="314" t="n"/>
      <c r="K17" s="313" t="n"/>
      <c r="L17" s="314" t="n"/>
      <c r="M17" s="313" t="n"/>
      <c r="N17" s="314" t="n"/>
      <c r="O17" s="313" t="n"/>
      <c r="P17" s="322" t="n"/>
    </row>
    <row r="18" ht="45" customHeight="1" s="474" thickBot="1">
      <c r="A18" s="745" t="n">
        <v>0.75</v>
      </c>
      <c r="B18" s="693" t="n"/>
      <c r="C18" s="667" t="n"/>
      <c r="D18" s="314" t="n"/>
      <c r="E18" s="313" t="n"/>
      <c r="F18" s="314" t="n"/>
      <c r="G18" s="313" t="n"/>
      <c r="H18" s="314" t="n"/>
      <c r="I18" s="313" t="n"/>
      <c r="J18" s="314" t="n"/>
      <c r="K18" s="313" t="n"/>
      <c r="L18" s="314" t="n"/>
      <c r="M18" s="313" t="n"/>
      <c r="N18" s="314" t="n"/>
      <c r="O18" s="313" t="n"/>
      <c r="P18" s="322" t="n"/>
    </row>
    <row r="19" ht="45" customHeight="1" s="474" thickBot="1">
      <c r="A19" s="745" t="n">
        <v>0.8125</v>
      </c>
      <c r="B19" s="693" t="n"/>
      <c r="C19" s="374" t="inlineStr">
        <is>
          <t>DINNER TIME</t>
        </is>
      </c>
      <c r="D19" s="314" t="n"/>
      <c r="E19" s="313" t="n"/>
      <c r="F19" s="314" t="n"/>
      <c r="G19" s="313" t="n"/>
      <c r="H19" s="314" t="n"/>
      <c r="I19" s="313" t="n"/>
      <c r="J19" s="314" t="n"/>
      <c r="K19" s="313" t="n"/>
      <c r="L19" s="314" t="n"/>
      <c r="M19" s="313" t="n"/>
      <c r="N19" s="314" t="n"/>
      <c r="O19" s="313" t="n"/>
      <c r="P19" s="322" t="n"/>
    </row>
    <row r="20" ht="45" customHeight="1" s="474">
      <c r="A20" s="745" t="n">
        <v>0.8333333333333334</v>
      </c>
      <c r="B20" s="693" t="n"/>
      <c r="C20" s="705" t="inlineStr">
        <is>
          <t>NIGHT</t>
        </is>
      </c>
      <c r="D20" s="313" t="n"/>
      <c r="E20" s="313" t="n"/>
      <c r="F20" s="313" t="n"/>
      <c r="G20" s="313" t="n"/>
      <c r="H20" s="313" t="n"/>
      <c r="I20" s="313" t="n"/>
      <c r="J20" s="313" t="n"/>
      <c r="K20" s="313" t="n"/>
      <c r="L20" s="313" t="n"/>
      <c r="M20" s="313" t="n"/>
      <c r="N20" s="313" t="n"/>
      <c r="O20" s="313" t="n"/>
      <c r="P20" s="322" t="n"/>
    </row>
    <row r="21" ht="45" customHeight="1" s="474">
      <c r="A21" s="745" t="n">
        <v>0.875</v>
      </c>
      <c r="B21" s="693" t="n"/>
      <c r="C21" s="665" t="n"/>
      <c r="D21" s="313" t="n"/>
      <c r="E21" s="313" t="n"/>
      <c r="F21" s="313" t="n"/>
      <c r="G21" s="313" t="n"/>
      <c r="H21" s="313" t="n"/>
      <c r="I21" s="313" t="n"/>
      <c r="J21" s="313" t="n"/>
      <c r="K21" s="313" t="n"/>
      <c r="L21" s="313" t="n"/>
      <c r="M21" s="313" t="n"/>
      <c r="N21" s="313" t="n"/>
      <c r="O21" s="313" t="n"/>
      <c r="P21" s="322" t="n"/>
    </row>
    <row r="22" ht="49" customHeight="1" s="474">
      <c r="A22" s="745" t="n">
        <v>0.9166666666666666</v>
      </c>
      <c r="B22" s="693" t="n"/>
      <c r="C22" s="665" t="n"/>
      <c r="D22" s="313" t="n"/>
      <c r="E22" s="313" t="n"/>
      <c r="F22" s="313" t="n"/>
      <c r="G22" s="313" t="n"/>
      <c r="H22" s="313" t="n"/>
      <c r="I22" s="313" t="n"/>
      <c r="J22" s="313" t="n"/>
      <c r="K22" s="313" t="n"/>
      <c r="L22" s="313" t="n"/>
      <c r="M22" s="313" t="n"/>
      <c r="N22" s="313" t="n"/>
      <c r="O22" s="313" t="n"/>
      <c r="P22" s="322" t="n"/>
    </row>
    <row r="23" ht="53" customHeight="1" s="474" thickBot="1">
      <c r="A23" s="746" t="n">
        <v>0.9583333333333334</v>
      </c>
      <c r="B23" s="704" t="n"/>
      <c r="C23" s="690" t="n"/>
      <c r="D23" s="323" t="n"/>
      <c r="E23" s="323" t="n"/>
      <c r="F23" s="323" t="n"/>
      <c r="G23" s="323" t="n"/>
      <c r="H23" s="323" t="n"/>
      <c r="I23" s="323" t="n"/>
      <c r="J23" s="323" t="n"/>
      <c r="K23" s="323" t="n"/>
      <c r="L23" s="323" t="n"/>
      <c r="M23" s="323" t="n"/>
      <c r="N23" s="323" t="n"/>
      <c r="O23" s="323" t="n"/>
      <c r="P23" s="324" t="n"/>
    </row>
    <row r="25" ht="76" customHeight="1" s="474">
      <c r="A25" s="747" t="n"/>
      <c r="K25" s="375" t="n"/>
    </row>
    <row r="27" ht="31.5" customHeight="1" s="474">
      <c r="O27" s="748" t="n"/>
    </row>
    <row r="28" ht="76" customHeight="1" s="474">
      <c r="O28" s="748" t="n"/>
    </row>
    <row r="29" ht="31.5" customFormat="1" customHeight="1" s="377">
      <c r="A29" s="701" t="n"/>
      <c r="B29" s="701" t="n"/>
      <c r="C29" s="701" t="n"/>
      <c r="D29" s="701" t="n"/>
      <c r="E29" s="701" t="n"/>
      <c r="F29" s="701" t="n"/>
      <c r="G29" s="701" t="n"/>
      <c r="H29" s="701" t="n"/>
      <c r="I29" s="701" t="n"/>
      <c r="J29" s="701" t="n"/>
      <c r="K29" s="701" t="n"/>
      <c r="L29" s="701" t="n"/>
      <c r="M29" s="701" t="n"/>
      <c r="N29" s="701" t="n"/>
      <c r="O29" s="748" t="n"/>
      <c r="P29" s="701" t="n"/>
      <c r="Q29" s="701" t="n"/>
      <c r="R29" s="701" t="n"/>
      <c r="S29" s="701" t="n"/>
      <c r="T29" s="701" t="n"/>
      <c r="U29" s="701" t="n"/>
      <c r="V29" s="701" t="n"/>
      <c r="W29" s="701" t="n"/>
      <c r="X29" s="701" t="n"/>
    </row>
    <row r="30" ht="31.5" customHeight="1" s="474">
      <c r="O30" s="748" t="n"/>
    </row>
    <row r="31" ht="31.5" customHeight="1" s="474">
      <c r="O31" s="748" t="n"/>
    </row>
    <row r="32" ht="31.5" customHeight="1" s="474">
      <c r="O32" s="748" t="n"/>
    </row>
    <row r="33" ht="31.5" customHeight="1" s="474">
      <c r="O33" s="748" t="n"/>
    </row>
    <row r="34" ht="31.5" customHeight="1" s="474">
      <c r="O34" s="748" t="n"/>
    </row>
    <row r="35" ht="31.5" customHeight="1" s="474">
      <c r="O35" s="748" t="n"/>
    </row>
    <row r="36" ht="31.5" customHeight="1" s="474">
      <c r="O36" s="748" t="n"/>
    </row>
    <row r="37" ht="31.5" customHeight="1" s="474">
      <c r="O37" s="748" t="n"/>
    </row>
    <row r="38" ht="31.5" customHeight="1" s="474">
      <c r="O38" s="748" t="n"/>
    </row>
    <row r="39" ht="31.5" customHeight="1" s="474">
      <c r="O39" s="748" t="n"/>
    </row>
    <row r="40" ht="31.5" customHeight="1" s="474">
      <c r="O40" s="748" t="n"/>
    </row>
    <row r="41" ht="31.5" customHeight="1" s="474">
      <c r="O41" s="748" t="n"/>
    </row>
    <row r="42" ht="31.5" customHeight="1" s="474">
      <c r="O42" s="748" t="n"/>
    </row>
    <row r="43" ht="31.5" customFormat="1" customHeight="1" s="378">
      <c r="A43" s="701" t="n"/>
      <c r="B43" s="701" t="n"/>
      <c r="C43" s="701" t="n"/>
      <c r="D43" s="701" t="n"/>
      <c r="E43" s="701" t="n"/>
      <c r="F43" s="701" t="n"/>
      <c r="G43" s="701" t="n"/>
      <c r="H43" s="701" t="n"/>
      <c r="I43" s="701" t="n"/>
      <c r="J43" s="701" t="n"/>
      <c r="K43" s="701" t="n"/>
      <c r="L43" s="701" t="n"/>
      <c r="M43" s="701" t="n"/>
      <c r="N43" s="701" t="n"/>
      <c r="O43" s="748" t="n"/>
      <c r="P43" s="701" t="n"/>
      <c r="Q43" s="701" t="n"/>
      <c r="R43" s="701" t="n"/>
      <c r="S43" s="701" t="n"/>
      <c r="T43" s="701" t="n"/>
      <c r="U43" s="701" t="n"/>
      <c r="V43" s="701" t="n"/>
      <c r="W43" s="701" t="n"/>
      <c r="X43" s="701" t="n"/>
    </row>
    <row r="44" ht="31.5" customHeight="1" s="474">
      <c r="O44" s="748" t="n"/>
    </row>
    <row r="45" ht="31.5" customHeight="1" s="474">
      <c r="O45" s="748" t="n"/>
    </row>
    <row r="46" ht="31.5" customHeight="1" s="474">
      <c r="O46" s="748" t="n"/>
    </row>
    <row r="77" ht="31.5" customHeight="1" s="474">
      <c r="O77" s="748" t="n"/>
    </row>
    <row r="78" ht="31.5" customHeight="1" s="474">
      <c r="O78" s="748" t="n"/>
    </row>
    <row r="79" ht="31.5" customHeight="1" s="474">
      <c r="O79" s="748" t="n"/>
    </row>
    <row r="80" ht="31.5" customHeight="1" s="474">
      <c r="O80" s="748" t="n"/>
    </row>
    <row r="81" ht="31.5" customHeight="1" s="474">
      <c r="O81" s="748" t="n"/>
    </row>
    <row r="82" ht="31.5" customHeight="1" s="474">
      <c r="O82" s="748" t="n"/>
    </row>
    <row r="83" ht="31.5" customHeight="1" s="474">
      <c r="O83" s="748" t="n"/>
    </row>
    <row r="84" ht="31.5" customHeight="1" s="474">
      <c r="O84" s="748" t="n"/>
    </row>
    <row r="85" ht="31.5" customHeight="1" s="474">
      <c r="O85" s="748" t="n"/>
    </row>
    <row r="86" ht="31.5" customHeight="1" s="474">
      <c r="O86" s="748" t="n"/>
    </row>
    <row r="87" ht="31.5" customHeight="1" s="474">
      <c r="O87" s="748" t="n"/>
    </row>
    <row r="88" ht="31.5" customHeight="1" s="474">
      <c r="O88" s="748" t="n"/>
    </row>
    <row r="89" ht="31.5" customHeight="1" s="474">
      <c r="O89" s="748" t="n"/>
    </row>
    <row r="90" ht="31.5" customHeight="1" s="474">
      <c r="O90" s="748" t="n"/>
    </row>
    <row r="91" ht="31.5" customHeight="1" s="474">
      <c r="O91" s="748" t="n"/>
    </row>
    <row r="92" ht="31.5" customHeight="1" s="474">
      <c r="O92" s="748" t="n"/>
    </row>
    <row r="93" ht="31.5" customHeight="1" s="474">
      <c r="O93" s="748" t="n"/>
    </row>
    <row r="94" ht="31.5" customHeight="1" s="474">
      <c r="O94" s="748" t="n"/>
    </row>
    <row r="95" ht="31.5" customHeight="1" s="474">
      <c r="O95" s="748" t="n"/>
    </row>
    <row r="96" ht="31.5" customHeight="1" s="474">
      <c r="O96" s="748" t="n"/>
    </row>
    <row r="97" ht="31.5" customHeight="1" s="474">
      <c r="O97" s="748" t="n"/>
    </row>
    <row r="98" ht="31.5" customHeight="1" s="474">
      <c r="O98" s="7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6">
    <mergeCell ref="A15:B15"/>
    <mergeCell ref="C4:C5"/>
    <mergeCell ref="A11:B11"/>
    <mergeCell ref="C20:C23"/>
    <mergeCell ref="K2:P2"/>
    <mergeCell ref="A4:B5"/>
    <mergeCell ref="A16:B16"/>
    <mergeCell ref="A7:B7"/>
    <mergeCell ref="A25:B25"/>
    <mergeCell ref="A18:B18"/>
    <mergeCell ref="A3:B3"/>
    <mergeCell ref="A12:B12"/>
    <mergeCell ref="A21:B21"/>
    <mergeCell ref="A2:B2"/>
    <mergeCell ref="A14:B14"/>
    <mergeCell ref="C14:C18"/>
    <mergeCell ref="A23:B23"/>
    <mergeCell ref="A17:B17"/>
    <mergeCell ref="A8:B8"/>
    <mergeCell ref="A22:B22"/>
    <mergeCell ref="A20:B20"/>
    <mergeCell ref="A19:B19"/>
    <mergeCell ref="C7:C12"/>
    <mergeCell ref="A10:B10"/>
    <mergeCell ref="A13:B13"/>
    <mergeCell ref="A9:B9"/>
  </mergeCells>
  <printOptions horizontalCentered="1"/>
  <pageMargins left="0.4" right="0.4" top="0.4" bottom="0.4" header="0.25" footer="0.25"/>
  <pageSetup orientation="portrait" scale="49" fitToHeight="0"/>
  <headerFooter differentFirst="1">
    <oddHeader/>
    <oddFooter>&amp;CPage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2:P75"/>
  <sheetViews>
    <sheetView topLeftCell="A53" zoomScale="119" zoomScaleNormal="136" workbookViewId="0">
      <selection activeCell="D73" sqref="D73"/>
    </sheetView>
  </sheetViews>
  <sheetFormatPr baseColWidth="10" defaultRowHeight="17"/>
  <cols>
    <col width="48.796875" customWidth="1" style="379" min="1" max="1"/>
    <col width="23.796875" customWidth="1" style="380" min="2" max="2"/>
    <col width="24" customWidth="1" style="749" min="3" max="3"/>
    <col width="29" customWidth="1" style="749" min="4" max="4"/>
    <col width="22.19921875" customWidth="1" style="750" min="5" max="5"/>
    <col width="25.19921875" customWidth="1" style="383" min="6" max="6"/>
    <col width="27.796875" customWidth="1" style="384" min="7" max="7"/>
    <col width="22" customWidth="1" style="384" min="8" max="8"/>
    <col width="31" customWidth="1" style="379" min="9" max="9"/>
    <col width="25.19921875" customWidth="1" style="379" min="10" max="10"/>
    <col width="28.796875" customWidth="1" style="379" min="11" max="11"/>
    <col width="36.19921875" customWidth="1" style="379" min="12" max="12"/>
    <col width="11" customWidth="1" style="379" min="13" max="28"/>
    <col width="11" customWidth="1" style="379" min="29" max="16384"/>
  </cols>
  <sheetData>
    <row r="1" hidden="1" ht="22" customHeight="1" s="474" thickBot="1"/>
    <row r="2" ht="7" customHeight="1" s="474">
      <c r="D2" s="751" t="n"/>
    </row>
    <row r="3" ht="1" customFormat="1" customHeight="1" s="389" thickBot="1">
      <c r="A3" s="386" t="n"/>
      <c r="B3" s="387" t="n"/>
      <c r="C3" s="752" t="inlineStr">
        <is>
          <t>COIGUE</t>
        </is>
      </c>
      <c r="D3" s="752" t="n"/>
      <c r="E3" s="752" t="n"/>
      <c r="F3" s="383" t="n"/>
      <c r="G3" s="384" t="n"/>
      <c r="H3" s="384" t="n"/>
    </row>
    <row r="4" ht="33" customFormat="1" customHeight="1" s="391" thickBot="1">
      <c r="A4" s="707" t="inlineStr">
        <is>
          <t>PER PAX</t>
        </is>
      </c>
      <c r="B4" s="673" t="n"/>
      <c r="C4" s="673" t="n"/>
      <c r="D4" s="673" t="n"/>
      <c r="E4" s="696" t="n"/>
      <c r="F4" s="383" t="n"/>
      <c r="G4" s="390" t="n"/>
      <c r="H4" s="384" t="n"/>
      <c r="I4" s="379" t="n"/>
      <c r="J4" s="379" t="n"/>
      <c r="K4" s="379" t="n"/>
      <c r="L4" s="379" t="n"/>
      <c r="M4" s="379" t="n"/>
      <c r="N4" s="379" t="n"/>
      <c r="O4" s="379" t="n"/>
      <c r="P4" s="379" t="n"/>
    </row>
    <row r="5" ht="40" customFormat="1" customHeight="1" s="389" thickBot="1">
      <c r="A5" s="392" t="inlineStr">
        <is>
          <t>2. FOOD</t>
        </is>
      </c>
      <c r="B5" s="393" t="inlineStr">
        <is>
          <t>QUANT.</t>
        </is>
      </c>
      <c r="C5" s="753" t="inlineStr">
        <is>
          <t>$ CUSTO</t>
        </is>
      </c>
      <c r="D5" s="754" t="inlineStr">
        <is>
          <t>$ VENDA</t>
        </is>
      </c>
      <c r="E5" s="754" t="inlineStr">
        <is>
          <t>SUBTOTAL</t>
        </is>
      </c>
      <c r="F5" s="396" t="n"/>
      <c r="G5" s="390" t="n"/>
      <c r="H5" s="384" t="n"/>
    </row>
    <row r="6" ht="20" customHeight="1" s="474">
      <c r="A6" s="397" t="inlineStr">
        <is>
          <t>BREAKFAST</t>
        </is>
      </c>
      <c r="B6" s="755" t="n">
        <v>0</v>
      </c>
      <c r="C6" s="756" t="n">
        <v>22000</v>
      </c>
      <c r="D6" s="757">
        <f>(C6*0.2)+C6</f>
        <v/>
      </c>
      <c r="E6" s="758">
        <f>D6*B6</f>
        <v/>
      </c>
      <c r="F6" s="400" t="inlineStr">
        <is>
          <t>PADRAO BREAKFAST</t>
        </is>
      </c>
      <c r="G6" s="759">
        <f>'[1]⚙️ INPUTS'!$B$16</f>
        <v/>
      </c>
      <c r="H6" s="760">
        <f>'[1]⚙️ INPUTS'!$B$17</f>
        <v/>
      </c>
    </row>
    <row r="7" ht="20" customHeight="1" s="474">
      <c r="A7" s="34" t="inlineStr">
        <is>
          <t>LUNCH 1</t>
        </is>
      </c>
      <c r="B7" s="761" t="n">
        <v>0</v>
      </c>
      <c r="C7" s="762" t="n">
        <v>40000</v>
      </c>
      <c r="D7" s="763">
        <f>(C7*0.2)+C7</f>
        <v/>
      </c>
      <c r="E7" s="764">
        <f>B7*D7</f>
        <v/>
      </c>
      <c r="F7" s="405" t="n"/>
      <c r="G7" s="406" t="inlineStr">
        <is>
          <t>ADULTO</t>
        </is>
      </c>
      <c r="H7" s="407" t="inlineStr">
        <is>
          <t>KIDS</t>
        </is>
      </c>
    </row>
    <row r="8" ht="20" customHeight="1" s="474">
      <c r="A8" s="34" t="inlineStr">
        <is>
          <t>LUNCH 2</t>
        </is>
      </c>
      <c r="B8" s="761" t="n">
        <v>0</v>
      </c>
      <c r="C8" s="762" t="n">
        <v>40000</v>
      </c>
      <c r="D8" s="763">
        <f>(C8*0.2)+C8</f>
        <v/>
      </c>
      <c r="E8" s="764">
        <f>B8*D8</f>
        <v/>
      </c>
      <c r="F8" s="396" t="n"/>
      <c r="G8" s="390" t="n"/>
    </row>
    <row r="9" ht="20" customHeight="1" s="474">
      <c r="A9" s="34" t="inlineStr">
        <is>
          <t>LUNCH 3</t>
        </is>
      </c>
      <c r="B9" s="761" t="n">
        <v>0</v>
      </c>
      <c r="C9" s="762" t="n">
        <v>40000</v>
      </c>
      <c r="D9" s="763">
        <f>(C9*0.2)+C9</f>
        <v/>
      </c>
      <c r="E9" s="764">
        <f>B9*D9</f>
        <v/>
      </c>
      <c r="F9" s="396" t="n"/>
      <c r="G9" s="390" t="n"/>
    </row>
    <row r="10" ht="20" customHeight="1" s="474">
      <c r="A10" s="34" t="inlineStr">
        <is>
          <t>LUNCH 4</t>
        </is>
      </c>
      <c r="B10" s="761" t="n">
        <v>0</v>
      </c>
      <c r="C10" s="762" t="n">
        <v>45000</v>
      </c>
      <c r="D10" s="763">
        <f>(C10*0.2)+C10</f>
        <v/>
      </c>
      <c r="E10" s="764">
        <f>B10*D10</f>
        <v/>
      </c>
      <c r="F10" s="396" t="n"/>
      <c r="G10" s="390" t="n"/>
    </row>
    <row r="11" ht="20" customHeight="1" s="474">
      <c r="A11" s="34" t="inlineStr">
        <is>
          <t>LUNCH 5</t>
        </is>
      </c>
      <c r="B11" s="761" t="n">
        <v>0</v>
      </c>
      <c r="C11" s="762" t="n">
        <v>50000</v>
      </c>
      <c r="D11" s="763">
        <f>(C11*0.2)+C11</f>
        <v/>
      </c>
      <c r="E11" s="764">
        <f>B11*D11</f>
        <v/>
      </c>
      <c r="F11" s="396" t="n"/>
      <c r="G11" s="390" t="n"/>
    </row>
    <row r="12" ht="20" customHeight="1" s="474">
      <c r="A12" s="34" t="inlineStr">
        <is>
          <t>LUNCH 6</t>
        </is>
      </c>
      <c r="B12" s="761" t="n">
        <v>0</v>
      </c>
      <c r="C12" s="762" t="n">
        <v>0</v>
      </c>
      <c r="D12" s="763">
        <f>(C12*0.2)+C12</f>
        <v/>
      </c>
      <c r="E12" s="764">
        <f>B12*D12</f>
        <v/>
      </c>
      <c r="F12" s="396" t="n"/>
      <c r="G12" s="390" t="n"/>
    </row>
    <row r="13" ht="20" customHeight="1" s="474">
      <c r="A13" s="34" t="inlineStr">
        <is>
          <t>LUNCH 7</t>
        </is>
      </c>
      <c r="B13" s="761" t="n">
        <v>0</v>
      </c>
      <c r="C13" s="762" t="n">
        <v>5000</v>
      </c>
      <c r="D13" s="763">
        <f>(C13*0.2)+C13</f>
        <v/>
      </c>
      <c r="E13" s="764">
        <f>B13*D13</f>
        <v/>
      </c>
      <c r="F13" s="396" t="n"/>
      <c r="G13" s="390" t="n"/>
    </row>
    <row r="14" ht="20" customHeight="1" s="474">
      <c r="A14" s="36" t="inlineStr">
        <is>
          <t>SNACKS</t>
        </is>
      </c>
      <c r="B14" s="765" t="n">
        <v>0</v>
      </c>
      <c r="C14" s="766" t="n">
        <v>8000</v>
      </c>
      <c r="D14" s="767">
        <f>(C14*0.2)+C14</f>
        <v/>
      </c>
      <c r="E14" s="758">
        <f>B14*D14</f>
        <v/>
      </c>
      <c r="F14" s="396" t="n"/>
      <c r="G14" s="390" t="n"/>
    </row>
    <row r="15" ht="20" customHeight="1" s="474">
      <c r="A15" s="34" t="inlineStr">
        <is>
          <t>DINNER 1</t>
        </is>
      </c>
      <c r="B15" s="761" t="n">
        <v>0</v>
      </c>
      <c r="C15" s="762" t="n">
        <v>70000</v>
      </c>
      <c r="D15" s="763">
        <f>(C15*0.2)+C15</f>
        <v/>
      </c>
      <c r="E15" s="764">
        <f>B15*D15</f>
        <v/>
      </c>
      <c r="F15" s="396" t="n"/>
      <c r="G15" s="390" t="n"/>
    </row>
    <row r="16" ht="20" customHeight="1" s="474">
      <c r="A16" s="34" t="inlineStr">
        <is>
          <t>DINNER 2</t>
        </is>
      </c>
      <c r="B16" s="761" t="n">
        <v>0</v>
      </c>
      <c r="C16" s="762" t="n">
        <v>25000</v>
      </c>
      <c r="D16" s="763">
        <f>(C16*0.2)+C16</f>
        <v/>
      </c>
      <c r="E16" s="764">
        <f>B16*D16</f>
        <v/>
      </c>
      <c r="F16" s="396" t="n"/>
      <c r="G16" s="390" t="n"/>
    </row>
    <row r="17" ht="20" customHeight="1" s="474">
      <c r="A17" s="34" t="inlineStr">
        <is>
          <t>DINNER 3</t>
        </is>
      </c>
      <c r="B17" s="761" t="n">
        <v>0</v>
      </c>
      <c r="C17" s="762" t="n">
        <v>50000</v>
      </c>
      <c r="D17" s="763">
        <f>(C17*0.2)+C17</f>
        <v/>
      </c>
      <c r="E17" s="764">
        <f>B17*D17</f>
        <v/>
      </c>
      <c r="F17" s="396" t="n"/>
      <c r="G17" s="390" t="n"/>
    </row>
    <row r="18" ht="20" customHeight="1" s="474">
      <c r="A18" s="34" t="inlineStr">
        <is>
          <t>DINNER 4</t>
        </is>
      </c>
      <c r="B18" s="761" t="n">
        <v>0</v>
      </c>
      <c r="C18" s="762" t="n">
        <v>65000</v>
      </c>
      <c r="D18" s="763">
        <f>(C18*0.2)+C18</f>
        <v/>
      </c>
      <c r="E18" s="764">
        <f>B18*D18</f>
        <v/>
      </c>
      <c r="F18" s="396" t="n"/>
      <c r="G18" s="390" t="n"/>
    </row>
    <row r="19" ht="20" customHeight="1" s="474">
      <c r="A19" s="34" t="inlineStr">
        <is>
          <t>DINNER 5</t>
        </is>
      </c>
      <c r="B19" s="761" t="n">
        <v>0</v>
      </c>
      <c r="C19" s="762" t="n">
        <v>75000</v>
      </c>
      <c r="D19" s="763">
        <f>(C19*0.2)+C19</f>
        <v/>
      </c>
      <c r="E19" s="764">
        <f>B19*D19</f>
        <v/>
      </c>
      <c r="F19" s="396" t="n"/>
      <c r="G19" s="390" t="n"/>
    </row>
    <row r="20" ht="20" customHeight="1" s="474">
      <c r="A20" s="34" t="inlineStr">
        <is>
          <t>DINNER 6</t>
        </is>
      </c>
      <c r="B20" s="761" t="n">
        <v>0</v>
      </c>
      <c r="C20" s="762" t="n">
        <v>0</v>
      </c>
      <c r="D20" s="763">
        <f>(C20*0.2)+C20</f>
        <v/>
      </c>
      <c r="E20" s="764">
        <f>B20*D20</f>
        <v/>
      </c>
      <c r="F20" s="396" t="n"/>
      <c r="G20" s="390" t="n"/>
    </row>
    <row r="21" ht="20" customHeight="1" s="474">
      <c r="A21" s="34" t="inlineStr">
        <is>
          <t>DINNER 7</t>
        </is>
      </c>
      <c r="B21" s="761" t="n">
        <v>0</v>
      </c>
      <c r="C21" s="762" t="n">
        <v>75000</v>
      </c>
      <c r="D21" s="763">
        <f>(C21*0.2)+C21</f>
        <v/>
      </c>
      <c r="E21" s="764">
        <f>B21*D21</f>
        <v/>
      </c>
      <c r="F21" s="409" t="n"/>
      <c r="G21" s="410" t="inlineStr">
        <is>
          <t>ADULTO</t>
        </is>
      </c>
      <c r="H21" s="411" t="inlineStr">
        <is>
          <t>KIDS</t>
        </is>
      </c>
    </row>
    <row r="22" ht="20" customHeight="1" s="474">
      <c r="A22" s="412" t="inlineStr">
        <is>
          <t>QUANT. TOTAL | PADRAO ALMOÇO</t>
        </is>
      </c>
      <c r="B22" s="761" t="n">
        <v>0</v>
      </c>
      <c r="C22" s="762" t="n">
        <v>40000</v>
      </c>
      <c r="D22" s="763">
        <f>(C22*0.2)+C22</f>
        <v/>
      </c>
      <c r="E22" s="764" t="n"/>
      <c r="F22" s="413" t="inlineStr">
        <is>
          <t>PADRAO ALMOÇO</t>
        </is>
      </c>
      <c r="G22" s="768" t="n">
        <v>0</v>
      </c>
      <c r="H22" s="769" t="n">
        <v>0</v>
      </c>
    </row>
    <row r="23" ht="20" customHeight="1" s="474" thickBot="1">
      <c r="A23" s="412" t="inlineStr">
        <is>
          <t>QUANT. TOTAL | PADRAO JANTAR</t>
        </is>
      </c>
      <c r="B23" s="761" t="n">
        <v>0</v>
      </c>
      <c r="C23" s="762" t="n">
        <v>50000</v>
      </c>
      <c r="D23" s="763">
        <f>(C23*0.2)+C23</f>
        <v/>
      </c>
      <c r="E23" s="764" t="n"/>
      <c r="F23" s="416" t="inlineStr">
        <is>
          <t>PADRAO JANTAR</t>
        </is>
      </c>
      <c r="G23" s="770">
        <f>'[1]⚙️ INPUTS'!$B$21</f>
        <v/>
      </c>
      <c r="H23" s="771">
        <f>'[1]⚙️ INPUTS'!$B$22</f>
        <v/>
      </c>
    </row>
    <row r="24" ht="29" customHeight="1" s="474" thickBot="1">
      <c r="A24" s="712" t="inlineStr">
        <is>
          <t>SUBTOTAL FOOD</t>
        </is>
      </c>
      <c r="B24" s="673" t="n"/>
      <c r="C24" s="673" t="n"/>
      <c r="D24" s="673" t="n"/>
      <c r="E24" s="772">
        <f>SUM(E6:E21)</f>
        <v/>
      </c>
      <c r="F24" s="773" t="n"/>
      <c r="G24" s="774" t="n"/>
    </row>
    <row r="25" ht="11" customFormat="1" customHeight="1" s="391" thickBot="1">
      <c r="A25" s="422" t="n"/>
      <c r="B25" s="775" t="n"/>
      <c r="C25" s="776" t="n"/>
      <c r="D25" s="749" t="n"/>
      <c r="E25" s="749" t="n"/>
      <c r="F25" s="383" t="n"/>
      <c r="G25" s="390" t="n"/>
      <c r="H25" s="384" t="n"/>
      <c r="I25" s="379" t="n"/>
      <c r="J25" s="379" t="n"/>
      <c r="K25" s="379" t="n"/>
      <c r="L25" s="379" t="n"/>
      <c r="M25" s="379" t="n"/>
      <c r="N25" s="379" t="n"/>
      <c r="O25" s="379" t="n"/>
      <c r="P25" s="379" t="n"/>
    </row>
    <row r="26" ht="34" customHeight="1" s="474" thickBot="1">
      <c r="A26" s="425" t="inlineStr">
        <is>
          <t>3. DRINKS / per cabin</t>
        </is>
      </c>
      <c r="B26" s="426" t="inlineStr">
        <is>
          <t>QUANT.</t>
        </is>
      </c>
      <c r="C26" s="777" t="inlineStr">
        <is>
          <t>$ CUSTO</t>
        </is>
      </c>
      <c r="D26" s="777" t="inlineStr">
        <is>
          <t>$ VENDA</t>
        </is>
      </c>
      <c r="E26" s="778" t="inlineStr">
        <is>
          <t>SUBTOTAL</t>
        </is>
      </c>
      <c r="F26" s="396" t="n"/>
      <c r="G26" s="390" t="n"/>
    </row>
    <row r="27" ht="20" customHeight="1" s="474">
      <c r="A27" s="38" t="inlineStr">
        <is>
          <t>SUCOS</t>
        </is>
      </c>
      <c r="B27" s="39" t="n">
        <v>0</v>
      </c>
      <c r="C27" s="779" t="n">
        <v>0</v>
      </c>
      <c r="D27" s="780">
        <f>(C27*0.2)+C27</f>
        <v/>
      </c>
      <c r="E27" s="781">
        <f>D27*B27</f>
        <v/>
      </c>
      <c r="F27" s="396" t="n"/>
      <c r="G27" s="390" t="n"/>
    </row>
    <row r="28" ht="20" customHeight="1" s="474">
      <c r="A28" s="38" t="inlineStr">
        <is>
          <t>SUCOS</t>
        </is>
      </c>
      <c r="B28" s="40" t="n">
        <v>0</v>
      </c>
      <c r="C28" s="779" t="n">
        <v>0</v>
      </c>
      <c r="D28" s="780">
        <f>(C28*0.2)+C28</f>
        <v/>
      </c>
      <c r="E28" s="781">
        <f>D28*B28</f>
        <v/>
      </c>
      <c r="F28" s="396" t="n"/>
      <c r="G28" s="390" t="n"/>
    </row>
    <row r="29" ht="20" customHeight="1" s="474">
      <c r="A29" s="41" t="inlineStr">
        <is>
          <t>CERVEJAS</t>
        </is>
      </c>
      <c r="B29" s="40" t="n">
        <v>0</v>
      </c>
      <c r="C29" s="779" t="n">
        <v>2000</v>
      </c>
      <c r="D29" s="780">
        <f>(C29*0.2)+C29</f>
        <v/>
      </c>
      <c r="E29" s="781">
        <f>D29*B29</f>
        <v/>
      </c>
      <c r="F29" s="396" t="n"/>
      <c r="G29" s="390" t="n"/>
    </row>
    <row r="30" ht="20" customHeight="1" s="474">
      <c r="A30" s="41" t="inlineStr">
        <is>
          <t>VINHOS</t>
        </is>
      </c>
      <c r="B30" s="40" t="n">
        <v>0</v>
      </c>
      <c r="C30" s="779" t="n">
        <v>8000</v>
      </c>
      <c r="D30" s="780">
        <f>(C30*0.2)+C30</f>
        <v/>
      </c>
      <c r="E30" s="781">
        <f>D30*B30</f>
        <v/>
      </c>
      <c r="F30" s="396" t="n"/>
      <c r="G30" s="390" t="n"/>
    </row>
    <row r="31" ht="20" customHeight="1" s="474">
      <c r="A31" s="41" t="inlineStr">
        <is>
          <t>DRINKS</t>
        </is>
      </c>
      <c r="B31" s="40" t="n">
        <v>0</v>
      </c>
      <c r="C31" s="779" t="n">
        <v>15000</v>
      </c>
      <c r="D31" s="780">
        <f>(C31*0.2)+C31</f>
        <v/>
      </c>
      <c r="E31" s="781">
        <f>D31*B31</f>
        <v/>
      </c>
      <c r="F31" s="396" t="n"/>
      <c r="G31" s="390" t="n"/>
    </row>
    <row r="32" ht="20" customHeight="1" s="474">
      <c r="A32" s="41" t="inlineStr">
        <is>
          <t>COOLER</t>
        </is>
      </c>
      <c r="B32" s="40" t="n">
        <v>0</v>
      </c>
      <c r="C32" s="779" t="n">
        <v>5000</v>
      </c>
      <c r="D32" s="780">
        <f>(C32*0.2)+C32</f>
        <v/>
      </c>
      <c r="E32" s="781">
        <f>D32*B32</f>
        <v/>
      </c>
      <c r="F32" s="396" t="n"/>
      <c r="G32" s="390" t="n"/>
    </row>
    <row r="33" ht="20" customHeight="1" s="474" thickBot="1">
      <c r="A33" s="41" t="n"/>
      <c r="B33" s="40" t="n">
        <v>0</v>
      </c>
      <c r="C33" s="779" t="n">
        <v>0</v>
      </c>
      <c r="D33" s="780">
        <f>(C33*0.2)+C33</f>
        <v/>
      </c>
      <c r="E33" s="781">
        <f>D33*B33</f>
        <v/>
      </c>
      <c r="F33" s="396" t="n"/>
      <c r="G33" s="390" t="n"/>
    </row>
    <row r="34" ht="48" customHeight="1" s="474" thickBot="1">
      <c r="A34" s="710" t="inlineStr">
        <is>
          <t>SUBTOTAL DRINKS</t>
        </is>
      </c>
      <c r="B34" s="673" t="n"/>
      <c r="C34" s="673" t="n"/>
      <c r="D34" s="673" t="n"/>
      <c r="E34" s="782">
        <f>SUM(E27:E33)</f>
        <v/>
      </c>
      <c r="F34" s="773" t="n"/>
      <c r="G34" s="774" t="n"/>
    </row>
    <row r="35" ht="11" customFormat="1" customHeight="1" s="391" thickBot="1">
      <c r="A35" s="422" t="n"/>
      <c r="B35" s="775" t="n"/>
      <c r="C35" s="776" t="n"/>
      <c r="D35" s="749" t="n"/>
      <c r="E35" s="749" t="n"/>
      <c r="F35" s="383" t="n"/>
      <c r="G35" s="390" t="n"/>
      <c r="H35" s="384" t="n"/>
      <c r="I35" s="379" t="n"/>
      <c r="J35" s="379" t="n"/>
      <c r="K35" s="379" t="n"/>
      <c r="L35" s="379" t="n"/>
      <c r="M35" s="379" t="n"/>
      <c r="N35" s="379" t="n"/>
      <c r="O35" s="379" t="n"/>
      <c r="P35" s="379" t="n"/>
    </row>
    <row r="36" ht="42" customFormat="1" customHeight="1" s="389">
      <c r="A36" s="432" t="inlineStr">
        <is>
          <t>4. ACTIVITIES / per pax</t>
        </is>
      </c>
      <c r="B36" s="433" t="inlineStr">
        <is>
          <t>QUANT.</t>
        </is>
      </c>
      <c r="C36" s="783" t="inlineStr">
        <is>
          <t>$ CUSTO</t>
        </is>
      </c>
      <c r="D36" s="783" t="inlineStr">
        <is>
          <t>$ VENDA</t>
        </is>
      </c>
      <c r="E36" s="783" t="inlineStr">
        <is>
          <t>SUBTOTAL</t>
        </is>
      </c>
      <c r="F36" s="383" t="n"/>
      <c r="G36" s="384" t="n"/>
      <c r="H36" s="384" t="n"/>
    </row>
    <row r="37" ht="20" customHeight="1" s="474">
      <c r="A37" s="784" t="inlineStr">
        <is>
          <t>HOTTUBE</t>
        </is>
      </c>
      <c r="B37" s="472" t="n">
        <v>0</v>
      </c>
      <c r="C37" s="785" t="n">
        <v>12000</v>
      </c>
      <c r="D37" s="786">
        <f>C37*0.2+C37</f>
        <v/>
      </c>
      <c r="E37" s="786">
        <f>D37*B37</f>
        <v/>
      </c>
    </row>
    <row r="38" ht="20" customHeight="1" s="474">
      <c r="A38" s="309" t="inlineStr">
        <is>
          <t>TREKKING 1/2 DAY</t>
        </is>
      </c>
      <c r="B38" s="310" t="n">
        <v>0</v>
      </c>
      <c r="C38" s="787" t="n">
        <v>60000</v>
      </c>
      <c r="D38" s="788">
        <f>C38*0.2+C38</f>
        <v/>
      </c>
      <c r="E38" s="788">
        <f>D38*B38</f>
        <v/>
      </c>
    </row>
    <row r="39" ht="20" customHeight="1" s="474">
      <c r="A39" s="312" t="inlineStr">
        <is>
          <t>TREKKING FUK DAY</t>
        </is>
      </c>
      <c r="B39" s="310" t="n">
        <v>0</v>
      </c>
      <c r="C39" s="787" t="n">
        <v>90000</v>
      </c>
      <c r="D39" s="788">
        <f>C39*0.2+C39</f>
        <v/>
      </c>
      <c r="E39" s="788">
        <f>D39*B39</f>
        <v/>
      </c>
    </row>
    <row r="40" ht="20" customHeight="1" s="474">
      <c r="A40" s="312" t="inlineStr">
        <is>
          <t>FLOTADA FAMILIAR</t>
        </is>
      </c>
      <c r="B40" s="310" t="n">
        <v>0</v>
      </c>
      <c r="C40" s="787" t="n">
        <v>60000</v>
      </c>
      <c r="D40" s="788">
        <f>C40*0.2+C40</f>
        <v/>
      </c>
      <c r="E40" s="788">
        <f>D40*B40</f>
        <v/>
      </c>
    </row>
    <row r="41" ht="20" customHeight="1" s="474">
      <c r="A41" s="309" t="inlineStr">
        <is>
          <t>RAFTING 1/2 DAY</t>
        </is>
      </c>
      <c r="B41" s="310" t="n">
        <v>0</v>
      </c>
      <c r="C41" s="787" t="n">
        <v>75000</v>
      </c>
      <c r="D41" s="788">
        <f>C41*0.2+C41</f>
        <v/>
      </c>
      <c r="E41" s="788">
        <f>D41*B41</f>
        <v/>
      </c>
    </row>
    <row r="42" ht="20" customHeight="1" s="474">
      <c r="A42" s="309" t="inlineStr">
        <is>
          <t>RAFTING FULL DAY</t>
        </is>
      </c>
      <c r="B42" s="310" t="n">
        <v>0</v>
      </c>
      <c r="C42" s="787" t="n">
        <v>110000</v>
      </c>
      <c r="D42" s="788">
        <f>C42*0.2+C42</f>
        <v/>
      </c>
      <c r="E42" s="788">
        <f>D42*B42</f>
        <v/>
      </c>
    </row>
    <row r="43" ht="20" customHeight="1" s="474">
      <c r="A43" s="309" t="inlineStr">
        <is>
          <t>CABALGADA 1/2 DAy</t>
        </is>
      </c>
      <c r="B43" s="310" t="n">
        <v>0</v>
      </c>
      <c r="C43" s="787" t="n">
        <v>90000</v>
      </c>
      <c r="D43" s="788">
        <f>C43*0.2+C43</f>
        <v/>
      </c>
      <c r="E43" s="788">
        <f>D43*B43</f>
        <v/>
      </c>
    </row>
    <row r="44" ht="20" customHeight="1" s="474">
      <c r="A44" s="309" t="inlineStr">
        <is>
          <t>CABALGADA FULL DAY</t>
        </is>
      </c>
      <c r="B44" s="310" t="n">
        <v>0</v>
      </c>
      <c r="C44" s="787" t="n">
        <v>140000</v>
      </c>
      <c r="D44" s="788">
        <f>C44*0.2+C44</f>
        <v/>
      </c>
      <c r="E44" s="788">
        <f>D44*B44</f>
        <v/>
      </c>
    </row>
    <row r="45" ht="20" customHeight="1" s="474">
      <c r="A45" s="309" t="inlineStr">
        <is>
          <t>LANCHA YELCHO</t>
        </is>
      </c>
      <c r="B45" s="310" t="n">
        <v>0</v>
      </c>
      <c r="C45" s="787" t="n">
        <v>120000</v>
      </c>
      <c r="D45" s="788">
        <f>C45*0.2+C45</f>
        <v/>
      </c>
      <c r="E45" s="788">
        <f>D45*B45</f>
        <v/>
      </c>
    </row>
    <row r="46" ht="20" customHeight="1" s="474">
      <c r="A46" s="309" t="inlineStr">
        <is>
          <t>RECREACAO INFANTIL 3HS</t>
        </is>
      </c>
      <c r="B46" s="310" t="n">
        <v>0</v>
      </c>
      <c r="C46" s="787" t="n">
        <v>30000</v>
      </c>
      <c r="D46" s="788">
        <f>C46*0.2+C46</f>
        <v/>
      </c>
      <c r="E46" s="788">
        <f>D46*B46</f>
        <v/>
      </c>
    </row>
    <row r="47" ht="48" customHeight="1" s="474" thickBot="1">
      <c r="A47" s="713" t="inlineStr">
        <is>
          <t>SUBTOTAL ACTIVITIES</t>
        </is>
      </c>
      <c r="B47" s="714" t="n"/>
      <c r="C47" s="714" t="n"/>
      <c r="D47" s="714" t="n"/>
      <c r="E47" s="789">
        <f>SUM(E37:E46)</f>
        <v/>
      </c>
      <c r="F47" s="773" t="n"/>
      <c r="G47" s="774" t="n"/>
    </row>
    <row r="48" ht="11" customFormat="1" customHeight="1" s="391" thickBot="1">
      <c r="A48" s="422" t="n"/>
      <c r="B48" s="775" t="n"/>
      <c r="C48" s="776" t="n"/>
      <c r="D48" s="749" t="n"/>
      <c r="E48" s="749" t="n"/>
      <c r="F48" s="383" t="n"/>
      <c r="G48" s="390" t="n"/>
      <c r="H48" s="384" t="n"/>
      <c r="I48" s="379" t="n"/>
      <c r="J48" s="379" t="n"/>
      <c r="K48" s="379" t="n"/>
      <c r="L48" s="379" t="n"/>
      <c r="M48" s="379" t="n"/>
      <c r="N48" s="379" t="n"/>
      <c r="O48" s="379" t="n"/>
      <c r="P48" s="379" t="n"/>
    </row>
    <row r="49" ht="37" customHeight="1" s="474" thickBot="1">
      <c r="A49" s="438" t="inlineStr">
        <is>
          <t>5. TRANSPORT / per pax</t>
        </is>
      </c>
      <c r="B49" s="439" t="inlineStr">
        <is>
          <t>QUANT.</t>
        </is>
      </c>
      <c r="C49" s="790" t="inlineStr">
        <is>
          <t>$ CUSTO</t>
        </is>
      </c>
      <c r="D49" s="790" t="inlineStr">
        <is>
          <t>$ VENDA</t>
        </is>
      </c>
      <c r="E49" s="791" t="inlineStr">
        <is>
          <t>SUBTOTAL</t>
        </is>
      </c>
    </row>
    <row r="50" ht="20" customHeight="1" s="474">
      <c r="A50" s="42" t="inlineStr">
        <is>
          <t>TRANSFER AEROPORTO CHEGADA</t>
        </is>
      </c>
      <c r="B50" s="43" t="n">
        <v>0</v>
      </c>
      <c r="C50" s="792" t="n">
        <v>80000</v>
      </c>
      <c r="D50" s="793">
        <f>C50*0.2+C50</f>
        <v/>
      </c>
      <c r="E50" s="794">
        <f>D50*B50</f>
        <v/>
      </c>
    </row>
    <row r="51" ht="20" customHeight="1" s="474">
      <c r="A51" s="42" t="inlineStr">
        <is>
          <t>TRANSFER AEROPORTO PARTIDA</t>
        </is>
      </c>
      <c r="B51" s="43" t="n">
        <v>0</v>
      </c>
      <c r="C51" s="792" t="n">
        <v>80000</v>
      </c>
      <c r="D51" s="793">
        <f>C51*0.2+C51</f>
        <v/>
      </c>
      <c r="E51" s="794">
        <f>D51*B51</f>
        <v/>
      </c>
    </row>
    <row r="52" ht="20" customHeight="1" s="474">
      <c r="A52" s="42" t="inlineStr">
        <is>
          <t>TRANSFERS INTERNO</t>
        </is>
      </c>
      <c r="B52" s="43" t="n">
        <v>0</v>
      </c>
      <c r="C52" s="792" t="n">
        <v>18000</v>
      </c>
      <c r="D52" s="793">
        <f>C52*0.2+C52</f>
        <v/>
      </c>
      <c r="E52" s="794">
        <f>D52*B52</f>
        <v/>
      </c>
    </row>
    <row r="53" ht="20" customHeight="1" s="474">
      <c r="A53" s="42" t="inlineStr">
        <is>
          <t>EXTRAS 1</t>
        </is>
      </c>
      <c r="B53" s="43" t="n">
        <v>0</v>
      </c>
      <c r="C53" s="792" t="n">
        <v>150000</v>
      </c>
      <c r="D53" s="793">
        <f>C53*0.2+C53</f>
        <v/>
      </c>
      <c r="E53" s="794">
        <f>D53*B53</f>
        <v/>
      </c>
    </row>
    <row r="54" ht="20" customHeight="1" s="474" thickBot="1">
      <c r="A54" s="42" t="inlineStr">
        <is>
          <t>EXTRAS 2</t>
        </is>
      </c>
      <c r="B54" s="43" t="n">
        <v>0</v>
      </c>
      <c r="C54" s="792" t="n">
        <v>0</v>
      </c>
      <c r="D54" s="793">
        <f>C54*0.2+C54</f>
        <v/>
      </c>
      <c r="E54" s="794">
        <f>D54*B54</f>
        <v/>
      </c>
    </row>
    <row r="55" ht="44" customHeight="1" s="474" thickBot="1">
      <c r="A55" s="711" t="inlineStr">
        <is>
          <t>SUBTOTAL TRANSPORT</t>
        </is>
      </c>
      <c r="B55" s="673" t="n"/>
      <c r="C55" s="673" t="n"/>
      <c r="D55" s="673" t="n"/>
      <c r="E55" s="795">
        <f>SUM(E50:E54)</f>
        <v/>
      </c>
      <c r="F55" s="773" t="n"/>
      <c r="G55" s="774" t="n"/>
    </row>
    <row r="56" ht="11" customFormat="1" customHeight="1" s="391" thickBot="1">
      <c r="A56" s="422" t="n"/>
      <c r="B56" s="775" t="n"/>
      <c r="C56" s="776" t="n"/>
      <c r="D56" s="749" t="n"/>
      <c r="E56" s="749" t="n"/>
      <c r="F56" s="383" t="n"/>
      <c r="G56" s="390" t="n"/>
      <c r="H56" s="384" t="n"/>
      <c r="I56" s="379" t="n"/>
      <c r="J56" s="379" t="n"/>
      <c r="K56" s="379" t="n"/>
      <c r="L56" s="379" t="n"/>
      <c r="M56" s="379" t="n"/>
      <c r="N56" s="379" t="n"/>
      <c r="O56" s="379" t="n"/>
      <c r="P56" s="379" t="n"/>
    </row>
    <row r="57" ht="42" customFormat="1" customHeight="1" s="450" thickBot="1">
      <c r="A57" s="445" t="inlineStr">
        <is>
          <t>6. EXPERIENCES / per pax</t>
        </is>
      </c>
      <c r="B57" s="446" t="inlineStr">
        <is>
          <t>QUANT.</t>
        </is>
      </c>
      <c r="C57" s="796" t="inlineStr">
        <is>
          <t>$ CUSTO</t>
        </is>
      </c>
      <c r="D57" s="796" t="inlineStr">
        <is>
          <t>$ VENDA</t>
        </is>
      </c>
      <c r="E57" s="797" t="inlineStr">
        <is>
          <t>SUBTOTAL</t>
        </is>
      </c>
      <c r="F57" s="383" t="n"/>
      <c r="G57" s="449" t="n"/>
      <c r="H57" s="449" t="n"/>
      <c r="I57" s="449" t="n"/>
      <c r="J57" s="449" t="n"/>
      <c r="K57" s="449" t="n"/>
    </row>
    <row r="58" ht="20" customHeight="1" s="474">
      <c r="A58" s="44" t="inlineStr">
        <is>
          <t>WS INSTRUCTOR</t>
        </is>
      </c>
      <c r="B58" s="45" t="n">
        <v>0</v>
      </c>
      <c r="C58" s="798" t="n">
        <v>3415000</v>
      </c>
      <c r="D58" s="799">
        <f>(C58*0.15)+C58</f>
        <v/>
      </c>
      <c r="E58" s="800">
        <f>D58*B58</f>
        <v/>
      </c>
      <c r="I58" s="453" t="n"/>
      <c r="J58" s="453" t="n"/>
      <c r="K58" s="453" t="n"/>
    </row>
    <row r="59" ht="20" customHeight="1" s="474">
      <c r="A59" s="44" t="inlineStr">
        <is>
          <t>PRODUCER FEE</t>
        </is>
      </c>
      <c r="B59" s="45" t="n">
        <v>0</v>
      </c>
      <c r="C59" s="798" t="n">
        <v>180000</v>
      </c>
      <c r="D59" s="799">
        <f>(C59*0.2)+C59</f>
        <v/>
      </c>
      <c r="E59" s="800">
        <f>D59*B59</f>
        <v/>
      </c>
    </row>
    <row r="60" ht="20" customHeight="1" s="474" thickBot="1">
      <c r="A60" s="44" t="n"/>
      <c r="B60" s="45" t="n">
        <v>0</v>
      </c>
      <c r="C60" s="798" t="n">
        <v>20000</v>
      </c>
      <c r="D60" s="799">
        <f>(C60*0.2)+C60</f>
        <v/>
      </c>
      <c r="E60" s="800">
        <f>D60*B60</f>
        <v/>
      </c>
    </row>
    <row r="61" ht="41" customHeight="1" s="474" thickBot="1">
      <c r="A61" s="708" t="inlineStr">
        <is>
          <t>4. ACTIVITIES</t>
        </is>
      </c>
      <c r="B61" s="673" t="n"/>
      <c r="C61" s="673" t="n"/>
      <c r="D61" s="673" t="n"/>
      <c r="E61" s="801">
        <f>SUM(E58:E60)</f>
        <v/>
      </c>
    </row>
    <row r="62" ht="11" customFormat="1" customHeight="1" s="391" thickBot="1">
      <c r="A62" s="422" t="n"/>
      <c r="B62" s="775" t="n"/>
      <c r="C62" s="776" t="n"/>
      <c r="D62" s="749" t="n"/>
      <c r="E62" s="749" t="n"/>
      <c r="F62" s="383" t="n"/>
      <c r="G62" s="390" t="n"/>
      <c r="H62" s="384" t="n"/>
      <c r="I62" s="379" t="n"/>
      <c r="J62" s="379" t="n"/>
      <c r="K62" s="379" t="n"/>
      <c r="L62" s="379" t="n"/>
      <c r="M62" s="379" t="n"/>
      <c r="N62" s="379" t="n"/>
      <c r="O62" s="379" t="n"/>
      <c r="P62" s="379" t="n"/>
    </row>
    <row r="63" ht="38" customHeight="1" s="474" thickBot="1">
      <c r="A63" s="455" t="inlineStr">
        <is>
          <t>7. EXTRAS / per cabin</t>
        </is>
      </c>
      <c r="B63" s="456" t="inlineStr">
        <is>
          <t>USOS</t>
        </is>
      </c>
      <c r="C63" s="802" t="inlineStr">
        <is>
          <t>$ CUSTO/ DIA</t>
        </is>
      </c>
      <c r="D63" s="802" t="inlineStr">
        <is>
          <t>$ VENDA / total dias</t>
        </is>
      </c>
      <c r="E63" s="803" t="inlineStr">
        <is>
          <t>SUBTOTAL</t>
        </is>
      </c>
      <c r="F63" s="773" t="n"/>
      <c r="G63" s="774" t="n"/>
    </row>
    <row r="64" ht="20" customHeight="1" s="474">
      <c r="A64" s="46" t="inlineStr">
        <is>
          <t>COORDENAÇÃO PRODUÇÃO</t>
        </is>
      </c>
      <c r="B64" s="47" t="n">
        <v>0</v>
      </c>
      <c r="C64" s="804" t="n">
        <v>50000</v>
      </c>
      <c r="D64" s="805">
        <f>((C64*0.2)+C64)*CALENDAR!$J$2</f>
        <v/>
      </c>
      <c r="E64" s="806">
        <f>D64*B64</f>
        <v/>
      </c>
    </row>
    <row r="65" ht="20" customHeight="1" s="474">
      <c r="A65" s="46" t="inlineStr">
        <is>
          <t>EXTRA MÃO DE OBRA</t>
        </is>
      </c>
      <c r="B65" s="47" t="n">
        <v>0</v>
      </c>
      <c r="C65" s="804" t="n">
        <v>50000</v>
      </c>
      <c r="D65" s="805">
        <f>((C65*0.2)+C65)*CALENDAR!$J$2</f>
        <v/>
      </c>
      <c r="E65" s="806">
        <f>D65*B65</f>
        <v/>
      </c>
    </row>
    <row r="66" ht="20" customHeight="1" s="474">
      <c r="A66" s="46" t="inlineStr">
        <is>
          <t>TAXA LIMPEZA CHECK IN / CHECKOUT</t>
        </is>
      </c>
      <c r="B66" s="47" t="n">
        <v>0</v>
      </c>
      <c r="C66" s="804" t="n">
        <v>40000</v>
      </c>
      <c r="D66" s="805">
        <f>((C66*0.2)+C66)*CALENDAR!$J$2</f>
        <v/>
      </c>
      <c r="E66" s="806">
        <f>D66*B66</f>
        <v/>
      </c>
    </row>
    <row r="67" ht="20" customHeight="1" s="474">
      <c r="A67" s="46" t="inlineStr">
        <is>
          <t>TAXA LIMPEZA DIARIA</t>
        </is>
      </c>
      <c r="B67" s="48" t="n">
        <v>0</v>
      </c>
      <c r="C67" s="804" t="n">
        <v>30000</v>
      </c>
      <c r="D67" s="805">
        <f>((C67*0.2)+C67)*CALENDAR!$J$2</f>
        <v/>
      </c>
      <c r="E67" s="806">
        <f>D67*B67</f>
        <v/>
      </c>
    </row>
    <row r="68" ht="20" customHeight="1" s="474">
      <c r="A68" s="46" t="inlineStr">
        <is>
          <t>SOUVENIR</t>
        </is>
      </c>
      <c r="B68" s="47" t="n">
        <v>0</v>
      </c>
      <c r="C68" s="804" t="n">
        <v>15000</v>
      </c>
      <c r="D68" s="805">
        <f>((C68*0.2)+C68)*CALENDAR!$J$2</f>
        <v/>
      </c>
      <c r="E68" s="806">
        <f>D68*B68</f>
        <v/>
      </c>
    </row>
    <row r="69" ht="20" customHeight="1" s="474" thickBot="1">
      <c r="A69" s="46" t="inlineStr">
        <is>
          <t>ASSISTENTE COORDENAÇÃO</t>
        </is>
      </c>
      <c r="B69" s="47" t="n">
        <v>0</v>
      </c>
      <c r="C69" s="804" t="n">
        <v>30000</v>
      </c>
      <c r="D69" s="805">
        <f>((C69*0.2)+C69)*CALENDAR!$J$2</f>
        <v/>
      </c>
      <c r="E69" s="806">
        <f>D69*B69</f>
        <v/>
      </c>
    </row>
    <row r="70" ht="41" customHeight="1" s="474" thickBot="1">
      <c r="A70" s="706" t="inlineStr">
        <is>
          <t>SUBTOTAL EXTRAS</t>
        </is>
      </c>
      <c r="B70" s="673" t="n"/>
      <c r="C70" s="673" t="n"/>
      <c r="D70" s="673" t="n"/>
      <c r="E70" s="807">
        <f>SUM(E64:E69)</f>
        <v/>
      </c>
    </row>
    <row r="71" ht="11" customFormat="1" customHeight="1" s="391" thickBot="1">
      <c r="A71" s="422" t="n"/>
      <c r="B71" s="775" t="n"/>
      <c r="C71" s="776" t="n"/>
      <c r="D71" s="749" t="n"/>
      <c r="E71" s="749" t="n"/>
      <c r="F71" s="383" t="n"/>
      <c r="G71" s="390" t="n"/>
      <c r="H71" s="384" t="n"/>
      <c r="I71" s="379" t="n"/>
      <c r="J71" s="379" t="n"/>
      <c r="K71" s="379" t="n"/>
      <c r="L71" s="379" t="n"/>
      <c r="M71" s="379" t="n"/>
      <c r="N71" s="379" t="n"/>
      <c r="O71" s="379" t="n"/>
      <c r="P71" s="379" t="n"/>
    </row>
    <row r="72" ht="38" customHeight="1" s="474" thickBot="1">
      <c r="A72" s="462" t="inlineStr">
        <is>
          <t>8. QUINCHO / per cabin</t>
        </is>
      </c>
      <c r="B72" s="463" t="inlineStr">
        <is>
          <t>USOS</t>
        </is>
      </c>
      <c r="C72" s="808" t="inlineStr">
        <is>
          <t>$ CUSTO</t>
        </is>
      </c>
      <c r="D72" s="808" t="inlineStr">
        <is>
          <t>$ VENDA</t>
        </is>
      </c>
      <c r="E72" s="809" t="inlineStr">
        <is>
          <t>SUBTOTAL</t>
        </is>
      </c>
      <c r="F72" s="773" t="n"/>
      <c r="G72" s="774" t="n"/>
    </row>
    <row r="73" ht="23" customHeight="1" s="474" thickBot="1">
      <c r="A73" s="49" t="inlineStr">
        <is>
          <t xml:space="preserve">QUINCHO DAY USE / CABIN </t>
        </is>
      </c>
      <c r="B73" s="50" t="n">
        <v>0</v>
      </c>
      <c r="C73" s="810" t="n">
        <v>15000</v>
      </c>
      <c r="D73" s="811">
        <f>C73+(C73*0.2)</f>
        <v/>
      </c>
      <c r="E73" s="812">
        <f>D73*B73</f>
        <v/>
      </c>
      <c r="F73" s="396" t="n"/>
      <c r="G73" s="390" t="n"/>
    </row>
    <row r="74" ht="42" customHeight="1" s="474" thickBot="1">
      <c r="A74" s="709" t="inlineStr">
        <is>
          <t>SUBTOTAL QUINCHO</t>
        </is>
      </c>
      <c r="B74" s="673" t="n"/>
      <c r="C74" s="673" t="n"/>
      <c r="D74" s="673" t="n"/>
      <c r="E74" s="813">
        <f>E73</f>
        <v/>
      </c>
    </row>
    <row r="75" ht="20" customFormat="1" customHeight="1" s="470">
      <c r="A75" s="469" t="n"/>
      <c r="B75" s="380" t="n"/>
      <c r="C75" s="750" t="n"/>
      <c r="D75" s="750" t="n"/>
      <c r="E75" s="750" t="n"/>
      <c r="F75" s="383" t="n"/>
      <c r="G75" s="384" t="n"/>
      <c r="H75" s="384" t="n"/>
      <c r="I75" s="379" t="n"/>
      <c r="J75" s="379" t="n"/>
      <c r="K75" s="379" t="n"/>
      <c r="L75" s="379" t="n"/>
      <c r="M75" s="379" t="n"/>
      <c r="N75" s="379" t="n"/>
      <c r="O75" s="379" t="n"/>
      <c r="P75" s="379" t="n"/>
    </row>
    <row r="7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B2:Y95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width="1.3984375" customWidth="1" style="7" min="1" max="1"/>
    <col width="37.59765625" customWidth="1" style="659" min="2" max="2"/>
    <col width="27" customWidth="1" style="661" min="3" max="3"/>
    <col width="21.796875" customWidth="1" style="474" min="4" max="4"/>
    <col width="30.59765625" customWidth="1" style="659" min="5" max="5"/>
    <col width="27" customWidth="1" style="661" min="6" max="6"/>
    <col width="25.59765625" customWidth="1" style="474" min="7" max="7"/>
    <col width="24" customWidth="1" style="474" min="8" max="8"/>
    <col width="27" customWidth="1" style="661" min="9" max="9"/>
    <col width="27" customWidth="1" style="661" min="10" max="10"/>
    <col width="25.796875" customWidth="1" style="7" min="11" max="11"/>
    <col width="25.796875" customWidth="1" style="474" min="12" max="12"/>
    <col width="24.3984375" customWidth="1" style="474" min="13" max="13"/>
    <col width="27" customWidth="1" style="661" min="14" max="14"/>
    <col width="27" customWidth="1" style="661" min="15" max="15"/>
    <col width="27" customWidth="1" style="661" min="16" max="16"/>
    <col width="27" customWidth="1" style="661" min="17" max="17"/>
    <col width="27" customWidth="1" style="661" min="18" max="18"/>
    <col width="27" customWidth="1" style="661" min="19" max="19"/>
    <col width="27" customWidth="1" style="661" min="20" max="20"/>
    <col width="27" customWidth="1" style="661" min="21" max="21"/>
    <col width="24.19921875" customWidth="1" style="474" min="22" max="22"/>
    <col width="24.19921875" customWidth="1" style="7" min="23" max="23"/>
    <col width="21.59765625" customWidth="1" style="7" min="24" max="24"/>
    <col width="25.796875" customWidth="1" style="7" min="25" max="25"/>
    <col width="25.796875" customWidth="1" style="7" min="26" max="27"/>
    <col width="11" customWidth="1" style="7" min="28" max="34"/>
    <col width="11" customWidth="1" style="7" min="35" max="16384"/>
  </cols>
  <sheetData>
    <row r="1" hidden="1" ht="22" customHeight="1" s="474" thickBot="1"/>
    <row r="2" ht="1" customFormat="1" customHeight="1" s="675" thickBot="1">
      <c r="B2" s="9" t="n"/>
      <c r="E2" s="9" t="n"/>
      <c r="H2" s="9" t="n"/>
      <c r="N2" s="9" t="n"/>
    </row>
    <row r="3" ht="69" customFormat="1" customHeight="1" s="675" thickBot="1">
      <c r="B3" s="475" t="n"/>
      <c r="C3" s="476">
        <f>CALENDAR!A2</f>
        <v/>
      </c>
      <c r="D3" s="477">
        <f>CALENDAR!C2</f>
        <v/>
      </c>
      <c r="E3" s="477" t="n"/>
      <c r="F3" s="478" t="inlineStr">
        <is>
          <t>CHECK OUT</t>
        </is>
      </c>
      <c r="G3" s="479">
        <f>CALENDAR!C3+1</f>
        <v/>
      </c>
      <c r="H3" s="479" t="n"/>
      <c r="J3" s="480" t="n"/>
      <c r="K3" s="481">
        <f>CALENDAR!I2</f>
        <v/>
      </c>
      <c r="L3" s="482">
        <f>CALENDAR!J2</f>
        <v/>
      </c>
      <c r="M3" s="483">
        <f>CALENDAR!J2</f>
        <v/>
      </c>
      <c r="N3" s="718">
        <f>CALENDAR!K2</f>
        <v/>
      </c>
      <c r="O3" s="673" t="n"/>
      <c r="P3" s="673" t="n"/>
      <c r="Q3" s="673" t="n"/>
      <c r="R3" s="673" t="n"/>
      <c r="S3" s="673" t="n"/>
      <c r="T3" s="673" t="n"/>
      <c r="U3" s="673" t="n"/>
      <c r="V3" s="673" t="n"/>
      <c r="W3" s="673" t="n"/>
      <c r="X3" s="673" t="n"/>
      <c r="Y3" s="673" t="n"/>
    </row>
    <row r="4" ht="32" customFormat="1" customHeight="1" s="661" thickBot="1">
      <c r="B4" s="484" t="n"/>
      <c r="C4" s="485" t="inlineStr">
        <is>
          <t>PAX</t>
        </is>
      </c>
      <c r="D4" s="485" t="inlineStr">
        <is>
          <t>PAX</t>
        </is>
      </c>
      <c r="E4" s="486" t="inlineStr">
        <is>
          <t>PAX</t>
        </is>
      </c>
      <c r="F4" s="485" t="inlineStr">
        <is>
          <t>PAX</t>
        </is>
      </c>
      <c r="G4" s="485" t="inlineStr">
        <is>
          <t>PAX</t>
        </is>
      </c>
      <c r="H4" s="486" t="inlineStr">
        <is>
          <t>PAX</t>
        </is>
      </c>
      <c r="I4" s="486" t="inlineStr">
        <is>
          <t>PAX</t>
        </is>
      </c>
      <c r="J4" s="485" t="inlineStr">
        <is>
          <t>PAX</t>
        </is>
      </c>
      <c r="K4" s="485" t="inlineStr">
        <is>
          <t>PAX</t>
        </is>
      </c>
      <c r="L4" s="486" t="inlineStr">
        <is>
          <t>PAX</t>
        </is>
      </c>
      <c r="M4" s="485" t="inlineStr">
        <is>
          <t>PAX</t>
        </is>
      </c>
      <c r="N4" s="486" t="inlineStr">
        <is>
          <t>PAX</t>
        </is>
      </c>
      <c r="O4" s="485" t="inlineStr">
        <is>
          <t>PAX</t>
        </is>
      </c>
      <c r="P4" s="485" t="inlineStr">
        <is>
          <t>PAX</t>
        </is>
      </c>
      <c r="Q4" s="485" t="inlineStr">
        <is>
          <t>PAX</t>
        </is>
      </c>
      <c r="R4" s="485" t="inlineStr">
        <is>
          <t>PAX</t>
        </is>
      </c>
      <c r="S4" s="485" t="inlineStr">
        <is>
          <t>PAX</t>
        </is>
      </c>
      <c r="T4" s="485" t="inlineStr">
        <is>
          <t>PAX</t>
        </is>
      </c>
      <c r="U4" s="485" t="inlineStr">
        <is>
          <t>PAX</t>
        </is>
      </c>
      <c r="V4" s="485" t="inlineStr">
        <is>
          <t>PAX</t>
        </is>
      </c>
      <c r="W4" s="485" t="inlineStr">
        <is>
          <t>PAX</t>
        </is>
      </c>
      <c r="X4" s="486" t="inlineStr">
        <is>
          <t>PAX</t>
        </is>
      </c>
      <c r="Y4" s="486" t="inlineStr">
        <is>
          <t>PAX</t>
        </is>
      </c>
    </row>
    <row r="5" ht="40" customFormat="1" customHeight="1" s="489" thickBot="1">
      <c r="B5" s="715" t="n"/>
      <c r="C5" s="715" t="n">
        <v>1</v>
      </c>
      <c r="D5" s="715" t="n">
        <v>2</v>
      </c>
      <c r="E5" s="488" t="inlineStr">
        <is>
          <t>2+1</t>
        </is>
      </c>
      <c r="F5" s="715" t="n">
        <v>1</v>
      </c>
      <c r="G5" s="715" t="n">
        <v>2</v>
      </c>
      <c r="H5" s="488" t="inlineStr">
        <is>
          <t>2+1</t>
        </is>
      </c>
      <c r="I5" s="488" t="inlineStr">
        <is>
          <t>2+2</t>
        </is>
      </c>
      <c r="J5" s="715" t="n">
        <v>1</v>
      </c>
      <c r="K5" s="715" t="n">
        <v>2</v>
      </c>
      <c r="L5" s="488" t="inlineStr">
        <is>
          <t>3</t>
        </is>
      </c>
      <c r="M5" s="715" t="inlineStr">
        <is>
          <t>2+1</t>
        </is>
      </c>
      <c r="N5" s="488" t="inlineStr">
        <is>
          <t>2+2</t>
        </is>
      </c>
      <c r="O5" s="715" t="n">
        <v>1</v>
      </c>
      <c r="P5" s="715" t="n">
        <v>2</v>
      </c>
      <c r="Q5" s="715" t="inlineStr">
        <is>
          <t>2+1</t>
        </is>
      </c>
      <c r="R5" s="715" t="inlineStr">
        <is>
          <t>2+2</t>
        </is>
      </c>
      <c r="S5" s="715" t="inlineStr">
        <is>
          <t>2+3</t>
        </is>
      </c>
      <c r="T5" s="715" t="n">
        <v>3</v>
      </c>
      <c r="U5" s="715" t="inlineStr">
        <is>
          <t>3+1</t>
        </is>
      </c>
      <c r="V5" s="715" t="inlineStr">
        <is>
          <t>3+2</t>
        </is>
      </c>
      <c r="W5" s="715" t="n">
        <v>4</v>
      </c>
      <c r="X5" s="488" t="inlineStr">
        <is>
          <t>4+1</t>
        </is>
      </c>
      <c r="Y5" s="488" t="n">
        <v>5</v>
      </c>
    </row>
    <row r="6" hidden="1" ht="40" customFormat="1" customHeight="1" s="489" thickBot="1">
      <c r="B6" s="716" t="n"/>
      <c r="C6" s="490" t="n">
        <v>1</v>
      </c>
      <c r="D6" s="491" t="n">
        <v>2</v>
      </c>
      <c r="E6" s="492" t="n">
        <v>3</v>
      </c>
      <c r="F6" s="491" t="n">
        <v>1</v>
      </c>
      <c r="G6" s="491" t="n">
        <v>2</v>
      </c>
      <c r="H6" s="492" t="n">
        <v>3</v>
      </c>
      <c r="I6" s="488" t="n">
        <v>4</v>
      </c>
      <c r="J6" s="491" t="n">
        <v>1</v>
      </c>
      <c r="K6" s="491" t="n">
        <v>2</v>
      </c>
      <c r="L6" s="488" t="n">
        <v>3</v>
      </c>
      <c r="M6" s="715" t="n">
        <v>3</v>
      </c>
      <c r="N6" s="488" t="n">
        <v>4</v>
      </c>
      <c r="O6" s="491" t="n">
        <v>1</v>
      </c>
      <c r="P6" s="491" t="n">
        <v>2</v>
      </c>
      <c r="Q6" s="715" t="n">
        <v>3</v>
      </c>
      <c r="R6" s="491" t="n">
        <v>4</v>
      </c>
      <c r="S6" s="491" t="n">
        <v>5</v>
      </c>
      <c r="T6" s="491" t="n">
        <v>3</v>
      </c>
      <c r="U6" s="491" t="n">
        <v>4</v>
      </c>
      <c r="V6" s="491" t="n">
        <v>5</v>
      </c>
      <c r="W6" s="491" t="n">
        <v>4</v>
      </c>
      <c r="X6" s="492" t="n">
        <v>5</v>
      </c>
      <c r="Y6" s="492" t="n">
        <v>5</v>
      </c>
    </row>
    <row r="7" ht="32" customFormat="1" customHeight="1" s="661" thickBot="1">
      <c r="B7" s="716" t="n"/>
      <c r="C7" s="717" t="inlineStr">
        <is>
          <t>SIM = 1 NÃO = 0</t>
        </is>
      </c>
      <c r="D7" s="673" t="n"/>
      <c r="E7" s="673" t="n"/>
      <c r="F7" s="673" t="n"/>
      <c r="G7" s="673" t="n"/>
      <c r="H7" s="673" t="n"/>
      <c r="I7" s="673" t="n"/>
      <c r="J7" s="673" t="n"/>
      <c r="K7" s="673" t="n"/>
      <c r="L7" s="673" t="n"/>
      <c r="M7" s="673" t="n"/>
      <c r="N7" s="673" t="n"/>
      <c r="O7" s="673" t="n"/>
      <c r="P7" s="673" t="n"/>
      <c r="Q7" s="673" t="n"/>
      <c r="R7" s="673" t="n"/>
      <c r="S7" s="673" t="n"/>
      <c r="T7" s="673" t="n"/>
      <c r="U7" s="673" t="n"/>
      <c r="V7" s="673" t="n"/>
      <c r="W7" s="673" t="n"/>
      <c r="X7" s="673" t="n"/>
      <c r="Y7" s="673" t="n"/>
    </row>
    <row r="8" ht="24" customFormat="1" customHeight="1" s="661" thickBot="1">
      <c r="B8" s="670" t="n"/>
      <c r="C8" s="31" t="n">
        <v>0</v>
      </c>
      <c r="D8" s="31" t="n">
        <v>0</v>
      </c>
      <c r="E8" s="555" t="n">
        <v>0</v>
      </c>
      <c r="F8" s="31" t="n">
        <v>0</v>
      </c>
      <c r="G8" s="31" t="n">
        <v>0</v>
      </c>
      <c r="H8" s="555" t="n">
        <v>0</v>
      </c>
      <c r="I8" s="555" t="n">
        <v>0</v>
      </c>
      <c r="J8" s="31" t="n">
        <v>0</v>
      </c>
      <c r="K8" s="31" t="n">
        <v>0</v>
      </c>
      <c r="L8" s="555" t="n">
        <v>0</v>
      </c>
      <c r="M8" s="31" t="n">
        <v>0</v>
      </c>
      <c r="N8" s="555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555" t="n">
        <v>0</v>
      </c>
      <c r="Y8" s="555" t="n">
        <v>0</v>
      </c>
    </row>
    <row r="9" ht="40" customFormat="1" customHeight="1" s="496" thickBot="1">
      <c r="B9" s="493" t="inlineStr">
        <is>
          <t>CABIN</t>
        </is>
      </c>
      <c r="C9" s="494" t="inlineStr">
        <is>
          <t>COIGUE</t>
        </is>
      </c>
      <c r="D9" s="494" t="inlineStr">
        <is>
          <t>COIGUE</t>
        </is>
      </c>
      <c r="E9" s="495" t="inlineStr">
        <is>
          <t>COIGUE</t>
        </is>
      </c>
      <c r="F9" s="494" t="inlineStr">
        <is>
          <t>NIRE</t>
        </is>
      </c>
      <c r="G9" s="494" t="inlineStr">
        <is>
          <t>NIRE</t>
        </is>
      </c>
      <c r="H9" s="495" t="inlineStr">
        <is>
          <t>NIRE</t>
        </is>
      </c>
      <c r="I9" s="495" t="inlineStr">
        <is>
          <t>NIRE</t>
        </is>
      </c>
      <c r="J9" s="494" t="inlineStr">
        <is>
          <t>CHAITEN</t>
        </is>
      </c>
      <c r="K9" s="494" t="inlineStr">
        <is>
          <t>CHAITEN</t>
        </is>
      </c>
      <c r="L9" s="495" t="inlineStr">
        <is>
          <t>CHAITEN</t>
        </is>
      </c>
      <c r="M9" s="494" t="inlineStr">
        <is>
          <t>CHAITEN</t>
        </is>
      </c>
      <c r="N9" s="495" t="inlineStr">
        <is>
          <t>CHAITEN</t>
        </is>
      </c>
      <c r="O9" s="494" t="inlineStr">
        <is>
          <t>CORCOVADO</t>
        </is>
      </c>
      <c r="P9" s="494" t="inlineStr">
        <is>
          <t>CORCOVADO</t>
        </is>
      </c>
      <c r="Q9" s="494" t="inlineStr">
        <is>
          <t>CORCOVADO</t>
        </is>
      </c>
      <c r="R9" s="494" t="inlineStr">
        <is>
          <t>CORCOVADO</t>
        </is>
      </c>
      <c r="S9" s="494" t="inlineStr">
        <is>
          <t>CORCOVADO</t>
        </is>
      </c>
      <c r="T9" s="494" t="inlineStr">
        <is>
          <t>CORCOVADO</t>
        </is>
      </c>
      <c r="U9" s="494" t="inlineStr">
        <is>
          <t>CORCOVADO</t>
        </is>
      </c>
      <c r="V9" s="494" t="inlineStr">
        <is>
          <t>CORCOVADO</t>
        </is>
      </c>
      <c r="W9" s="494" t="inlineStr">
        <is>
          <t>CORCOVADO</t>
        </is>
      </c>
      <c r="X9" s="495" t="inlineStr">
        <is>
          <t>CORCOVADO</t>
        </is>
      </c>
      <c r="Y9" s="495" t="inlineStr">
        <is>
          <t>CORCOVADO</t>
        </is>
      </c>
    </row>
    <row r="10" ht="40" customHeight="1" s="474">
      <c r="B10" s="497" t="inlineStr">
        <is>
          <t>1.LODGING</t>
        </is>
      </c>
      <c r="C10" s="814">
        <f>'BUDGET COIGUE 1'!B13*C8</f>
        <v/>
      </c>
      <c r="D10" s="814">
        <f>'BUDGET COIGUE 2'!$B$13*D8</f>
        <v/>
      </c>
      <c r="E10" s="814">
        <f>'BUDGET COIGUE 2+1'!$B$13*E8</f>
        <v/>
      </c>
      <c r="F10" s="814">
        <f>'BUDGET NIRE 1'!$B$13*F8</f>
        <v/>
      </c>
      <c r="G10" s="814">
        <f>'BUDGET NIRE 2'!$B$13*G8</f>
        <v/>
      </c>
      <c r="H10" s="815">
        <f>'BUDGET NIRE 2+1'!$B$13*H8</f>
        <v/>
      </c>
      <c r="I10" s="815">
        <f>'BUDGET NIRE 2+2'!$B$13*I8</f>
        <v/>
      </c>
      <c r="J10" s="814">
        <f>'BUDGET CHAITEN 1'!$B$13*J8</f>
        <v/>
      </c>
      <c r="K10" s="814">
        <f>'BUDGET CHAITEN 2'!$B$13*K8</f>
        <v/>
      </c>
      <c r="L10" s="815">
        <f>'BUDGET CHAITEN 3'!$B$13*L8</f>
        <v/>
      </c>
      <c r="M10" s="814">
        <f>'BUDGET CHAITEN 2+1'!$B$13*M8</f>
        <v/>
      </c>
      <c r="N10" s="815">
        <f>'BUDGET CHAITEN 2+2'!$B$13*N8</f>
        <v/>
      </c>
      <c r="O10" s="814">
        <f>'BUDGET CORCOVADO 1'!$B$13*O8</f>
        <v/>
      </c>
      <c r="P10" s="814">
        <f>'BUDGET CORCOVADO 2'!$B$13*P8</f>
        <v/>
      </c>
      <c r="Q10" s="814">
        <f>'BUDGET CORCOVADO 2+1'!$B$13*Q8</f>
        <v/>
      </c>
      <c r="R10" s="814">
        <f>'BUDGET CORCOVADO 2+2'!$B$13*R8</f>
        <v/>
      </c>
      <c r="S10" s="814">
        <f>'BUDGET CORCOVADO 2+3'!$B$13*S8</f>
        <v/>
      </c>
      <c r="T10" s="814">
        <f>'BUDGET CORCOVADO 3'!$B$13*T8</f>
        <v/>
      </c>
      <c r="U10" s="814">
        <f>'BUDGET CORCOVADO 3+1'!$B$13*U8</f>
        <v/>
      </c>
      <c r="V10" s="814">
        <f>'BUDGET CORCOVADO 3+2'!$B$13*V8</f>
        <v/>
      </c>
      <c r="W10" s="814">
        <f>'BUDGET CORCOVADO 4'!$B$13*W8</f>
        <v/>
      </c>
      <c r="X10" s="815">
        <f>'BUDGET CORCOVADO 4+1'!$B$13*X8</f>
        <v/>
      </c>
      <c r="Y10" s="815">
        <f>'BUDGET CORCOVADO 5'!$B$13*Y8</f>
        <v/>
      </c>
    </row>
    <row r="11" ht="40" customFormat="1" customHeight="1" s="661">
      <c r="B11" s="500" t="inlineStr">
        <is>
          <t>2.FOOD</t>
        </is>
      </c>
      <c r="C11" s="816">
        <f>'BUDGET COIGUE 1'!$B$14*C8</f>
        <v/>
      </c>
      <c r="D11" s="816">
        <f>'BUDGET COIGUE 2'!$B$14*D8</f>
        <v/>
      </c>
      <c r="E11" s="816">
        <f>'BUDGET COIGUE 2+1'!$B$14*E8</f>
        <v/>
      </c>
      <c r="F11" s="816">
        <f>'BUDGET NIRE 1'!$B$14*F8</f>
        <v/>
      </c>
      <c r="G11" s="816">
        <f>'BUDGET NIRE 2'!$B$14*G8</f>
        <v/>
      </c>
      <c r="H11" s="817">
        <f>'BUDGET NIRE 2+1'!$B$14*H8</f>
        <v/>
      </c>
      <c r="I11" s="817">
        <f>'BUDGET NIRE 2+2'!$B$14*I8</f>
        <v/>
      </c>
      <c r="J11" s="816">
        <f>'BUDGET CHAITEN 1'!$B$14*J8</f>
        <v/>
      </c>
      <c r="K11" s="816">
        <f>'BUDGET CHAITEN 2'!$B$14*K8</f>
        <v/>
      </c>
      <c r="L11" s="817">
        <f>'BUDGET CHAITEN 3'!$B$14*L8</f>
        <v/>
      </c>
      <c r="M11" s="816">
        <f>'BUDGET CHAITEN 2+1'!$B$14*M8</f>
        <v/>
      </c>
      <c r="N11" s="817">
        <f>'BUDGET CHAITEN 2+2'!$B$14*N8</f>
        <v/>
      </c>
      <c r="O11" s="816">
        <f>'BUDGET CORCOVADO 1'!$B$14*O8</f>
        <v/>
      </c>
      <c r="P11" s="816">
        <f>'BUDGET CORCOVADO 2'!$B$14*P8</f>
        <v/>
      </c>
      <c r="Q11" s="816">
        <f>'BUDGET CORCOVADO 2+1'!$B$14*Q8</f>
        <v/>
      </c>
      <c r="R11" s="816">
        <f>'BUDGET CORCOVADO 2+2'!$B$14*R8</f>
        <v/>
      </c>
      <c r="S11" s="816">
        <f>'BUDGET CORCOVADO 2+3'!$B$14*S8</f>
        <v/>
      </c>
      <c r="T11" s="816">
        <f>'BUDGET CORCOVADO 3'!$B$14*T8</f>
        <v/>
      </c>
      <c r="U11" s="816">
        <f>'BUDGET CORCOVADO 3+1'!$B$14*U8</f>
        <v/>
      </c>
      <c r="V11" s="816">
        <f>'BUDGET CORCOVADO 3+2'!$B$14*V8</f>
        <v/>
      </c>
      <c r="W11" s="816">
        <f>'BUDGET CORCOVADO 4'!$B$14*W8</f>
        <v/>
      </c>
      <c r="X11" s="817">
        <f>'BUDGET CORCOVADO 4+1'!$B$14*X8</f>
        <v/>
      </c>
      <c r="Y11" s="817">
        <f>'BUDGET CORCOVADO 5'!$B$14*Y8</f>
        <v/>
      </c>
    </row>
    <row r="12" ht="40" customHeight="1" s="474">
      <c r="B12" s="503" t="inlineStr">
        <is>
          <t>3.DRINKS</t>
        </is>
      </c>
      <c r="C12" s="818">
        <f>'BUDGET COIGUE 1'!$B$15*C8</f>
        <v/>
      </c>
      <c r="D12" s="818">
        <f>'BUDGET COIGUE 2'!$B$15*D8</f>
        <v/>
      </c>
      <c r="E12" s="818">
        <f>'BUDGET COIGUE 2+1'!$B$15*E8</f>
        <v/>
      </c>
      <c r="F12" s="818">
        <f>'BUDGET NIRE 1'!$B$15*F8</f>
        <v/>
      </c>
      <c r="G12" s="818">
        <f>'BUDGET NIRE 2'!$B$15*G8</f>
        <v/>
      </c>
      <c r="H12" s="819">
        <f>'BUDGET NIRE 2+1'!$B$15*H8</f>
        <v/>
      </c>
      <c r="I12" s="819">
        <f>'BUDGET NIRE 2+2'!$B$15*I8</f>
        <v/>
      </c>
      <c r="J12" s="818">
        <f>'BUDGET CHAITEN 1'!$B$15*J8</f>
        <v/>
      </c>
      <c r="K12" s="818">
        <f>'BUDGET CHAITEN 2'!$B$15*K8</f>
        <v/>
      </c>
      <c r="L12" s="819">
        <f>'BUDGET CHAITEN 3'!$B$15*L8</f>
        <v/>
      </c>
      <c r="M12" s="818">
        <f>'BUDGET CHAITEN 2+1'!$B$15*M8</f>
        <v/>
      </c>
      <c r="N12" s="819">
        <f>'BUDGET CHAITEN 2+2'!$B$15*N8</f>
        <v/>
      </c>
      <c r="O12" s="818">
        <f>'BUDGET CORCOVADO 1'!$B$15*O8</f>
        <v/>
      </c>
      <c r="P12" s="818">
        <f>'BUDGET CORCOVADO 2'!$B$15*P8</f>
        <v/>
      </c>
      <c r="Q12" s="818">
        <f>'BUDGET CORCOVADO 2+1'!$B$15*Q8</f>
        <v/>
      </c>
      <c r="R12" s="818">
        <f>'BUDGET CORCOVADO 2+2'!$B$15*R8</f>
        <v/>
      </c>
      <c r="S12" s="818">
        <f>'BUDGET CORCOVADO 2+3'!$B$15*S8</f>
        <v/>
      </c>
      <c r="T12" s="818">
        <f>'BUDGET CORCOVADO 3'!$B$15*T8</f>
        <v/>
      </c>
      <c r="U12" s="818">
        <f>'BUDGET CORCOVADO 3+1'!$B$15*U8</f>
        <v/>
      </c>
      <c r="V12" s="818">
        <f>'BUDGET CORCOVADO 3+2'!$B$15*V8</f>
        <v/>
      </c>
      <c r="W12" s="818">
        <f>'BUDGET CORCOVADO 4'!$B$15*W8</f>
        <v/>
      </c>
      <c r="X12" s="819">
        <f>'BUDGET CORCOVADO 4+1'!$B$15*X8</f>
        <v/>
      </c>
      <c r="Y12" s="819">
        <f>'BUDGET CORCOVADO 5'!$B$15*Y8</f>
        <v/>
      </c>
    </row>
    <row r="13" ht="40" customHeight="1" s="474">
      <c r="B13" s="506" t="inlineStr">
        <is>
          <t>4. ACTIVITIES</t>
        </is>
      </c>
      <c r="C13" s="820">
        <f>'BUDGET COIGUE 1'!$B$16*C8</f>
        <v/>
      </c>
      <c r="D13" s="820">
        <f>'BUDGET COIGUE 2'!$B$16*D8</f>
        <v/>
      </c>
      <c r="E13" s="820">
        <f>'BUDGET COIGUE 2+1'!$B$16*E8</f>
        <v/>
      </c>
      <c r="F13" s="820">
        <f>'BUDGET NIRE 1'!$B$16*F8</f>
        <v/>
      </c>
      <c r="G13" s="820">
        <f>'BUDGET NIRE 2'!$B$16*G8</f>
        <v/>
      </c>
      <c r="H13" s="821">
        <f>'BUDGET NIRE 2+1'!$B$16*H8</f>
        <v/>
      </c>
      <c r="I13" s="821">
        <f>'BUDGET NIRE 2+2'!$B$16*I8</f>
        <v/>
      </c>
      <c r="J13" s="820">
        <f>'BUDGET CHAITEN 1'!$B$16*J8</f>
        <v/>
      </c>
      <c r="K13" s="820">
        <f>'BUDGET CHAITEN 2'!$B$16*K8</f>
        <v/>
      </c>
      <c r="L13" s="821">
        <f>'BUDGET CHAITEN 3'!$B$16*L8</f>
        <v/>
      </c>
      <c r="M13" s="820">
        <f>'BUDGET CHAITEN 2+1'!$B$16*M8</f>
        <v/>
      </c>
      <c r="N13" s="821">
        <f>'BUDGET CHAITEN 2+2'!$B$16*N8</f>
        <v/>
      </c>
      <c r="O13" s="820">
        <f>'BUDGET CORCOVADO 1'!$B$16*O8</f>
        <v/>
      </c>
      <c r="P13" s="820">
        <f>'BUDGET CORCOVADO 2'!$B$16*P8</f>
        <v/>
      </c>
      <c r="Q13" s="820">
        <f>'BUDGET CORCOVADO 2+1'!$B$16*Q8</f>
        <v/>
      </c>
      <c r="R13" s="820">
        <f>'BUDGET CORCOVADO 2+2'!$B$16*R8</f>
        <v/>
      </c>
      <c r="S13" s="820">
        <f>'BUDGET CORCOVADO 2+3'!$B$16*S8</f>
        <v/>
      </c>
      <c r="T13" s="820">
        <f>'BUDGET CORCOVADO 3'!$B$16*T8</f>
        <v/>
      </c>
      <c r="U13" s="820">
        <f>'BUDGET CORCOVADO 3+1'!$B$16*U8</f>
        <v/>
      </c>
      <c r="V13" s="820">
        <f>'BUDGET CORCOVADO 3+2'!$B$16*V8</f>
        <v/>
      </c>
      <c r="W13" s="820">
        <f>'BUDGET CORCOVADO 4'!$B$16*W8</f>
        <v/>
      </c>
      <c r="X13" s="821">
        <f>'BUDGET CORCOVADO 4+1'!$B$16*X8</f>
        <v/>
      </c>
      <c r="Y13" s="821">
        <f>'BUDGET CORCOVADO 5'!$B$16*Y8</f>
        <v/>
      </c>
    </row>
    <row r="14" ht="40" customHeight="1" s="474">
      <c r="B14" s="509" t="inlineStr">
        <is>
          <t>5.TRANSPORT</t>
        </is>
      </c>
      <c r="C14" s="822">
        <f>'BUDGET COIGUE 1'!$B$17*C8</f>
        <v/>
      </c>
      <c r="D14" s="822">
        <f>'BUDGET COIGUE 2'!$B$17*D8</f>
        <v/>
      </c>
      <c r="E14" s="822">
        <f>'BUDGET COIGUE 2+1'!$B$17*E8</f>
        <v/>
      </c>
      <c r="F14" s="822">
        <f>'BUDGET NIRE 1'!$B$17*F8</f>
        <v/>
      </c>
      <c r="G14" s="822">
        <f>'BUDGET NIRE 2'!$B$17*G8</f>
        <v/>
      </c>
      <c r="H14" s="823">
        <f>'BUDGET NIRE 2+1'!$B$17*H8</f>
        <v/>
      </c>
      <c r="I14" s="823">
        <f>'BUDGET NIRE 2+2'!$B$17*I8</f>
        <v/>
      </c>
      <c r="J14" s="822">
        <f>'BUDGET CHAITEN 1'!$B$17*J8</f>
        <v/>
      </c>
      <c r="K14" s="822">
        <f>'BUDGET CHAITEN 2'!$B$17*K8</f>
        <v/>
      </c>
      <c r="L14" s="823">
        <f>'BUDGET CHAITEN 3'!$B$17*L8</f>
        <v/>
      </c>
      <c r="M14" s="822">
        <f>'BUDGET CHAITEN 2+1'!$B$17*M8</f>
        <v/>
      </c>
      <c r="N14" s="823">
        <f>'BUDGET CHAITEN 2+2'!$B$17*N8</f>
        <v/>
      </c>
      <c r="O14" s="822">
        <f>'BUDGET CORCOVADO 1'!$B$17*O8</f>
        <v/>
      </c>
      <c r="P14" s="822">
        <f>'BUDGET CORCOVADO 2'!$B$17*P8</f>
        <v/>
      </c>
      <c r="Q14" s="822">
        <f>'BUDGET CORCOVADO 2+1'!$B$17*Q8</f>
        <v/>
      </c>
      <c r="R14" s="822">
        <f>'BUDGET CORCOVADO 2+2'!$B$17*R8</f>
        <v/>
      </c>
      <c r="S14" s="822">
        <f>'BUDGET CORCOVADO 2+3'!$B$17*S8</f>
        <v/>
      </c>
      <c r="T14" s="822">
        <f>'BUDGET CORCOVADO 3'!$B$17*T8</f>
        <v/>
      </c>
      <c r="U14" s="822">
        <f>'BUDGET CORCOVADO 3+1'!$B$17*U8</f>
        <v/>
      </c>
      <c r="V14" s="822">
        <f>'BUDGET CORCOVADO 3+2'!$B$17*V8</f>
        <v/>
      </c>
      <c r="W14" s="822">
        <f>'BUDGET CORCOVADO 4'!$B$17*W8</f>
        <v/>
      </c>
      <c r="X14" s="823">
        <f>'BUDGET CORCOVADO 4+1'!$B$17*X8</f>
        <v/>
      </c>
      <c r="Y14" s="823">
        <f>'BUDGET CORCOVADO 5'!$B$17*Y8</f>
        <v/>
      </c>
    </row>
    <row r="15" ht="40" customHeight="1" s="474">
      <c r="B15" s="512" t="inlineStr">
        <is>
          <t>6.EXPERIENCES</t>
        </is>
      </c>
      <c r="C15" s="824">
        <f>'BUDGET COIGUE 1'!$B$18*C8</f>
        <v/>
      </c>
      <c r="D15" s="824">
        <f>'BUDGET COIGUE 2'!$B$18*D8</f>
        <v/>
      </c>
      <c r="E15" s="824">
        <f>'BUDGET COIGUE 2+1'!$B$18*E8</f>
        <v/>
      </c>
      <c r="F15" s="824">
        <f>'BUDGET NIRE 1'!$B$18*F8</f>
        <v/>
      </c>
      <c r="G15" s="824">
        <f>'BUDGET NIRE 2'!$B$18*G8</f>
        <v/>
      </c>
      <c r="H15" s="825">
        <f>'BUDGET NIRE 2+1'!$B$18*H8</f>
        <v/>
      </c>
      <c r="I15" s="825">
        <f>'BUDGET NIRE 2+2'!$B$18*I8</f>
        <v/>
      </c>
      <c r="J15" s="824">
        <f>'BUDGET CHAITEN 1'!$B$18*J8</f>
        <v/>
      </c>
      <c r="K15" s="824">
        <f>'BUDGET CHAITEN 2'!$B$18*K8</f>
        <v/>
      </c>
      <c r="L15" s="825">
        <f>'BUDGET CHAITEN 3'!$B$18*L8</f>
        <v/>
      </c>
      <c r="M15" s="824">
        <f>'BUDGET CHAITEN 2+1'!$B$18*M8</f>
        <v/>
      </c>
      <c r="N15" s="825">
        <f>'BUDGET CHAITEN 2+2'!$B$18*N8</f>
        <v/>
      </c>
      <c r="O15" s="824">
        <f>'BUDGET CORCOVADO 1'!$B$18*O8</f>
        <v/>
      </c>
      <c r="P15" s="824">
        <f>'BUDGET CORCOVADO 2'!$B$18*P8</f>
        <v/>
      </c>
      <c r="Q15" s="824">
        <f>'BUDGET CORCOVADO 2+1'!$B$18*Q8</f>
        <v/>
      </c>
      <c r="R15" s="824">
        <f>'BUDGET CORCOVADO 2+2'!$B$18*R8</f>
        <v/>
      </c>
      <c r="S15" s="824">
        <f>'BUDGET CORCOVADO 2+3'!$B$18*S8</f>
        <v/>
      </c>
      <c r="T15" s="824">
        <f>'BUDGET CORCOVADO 3'!$B$18*T8</f>
        <v/>
      </c>
      <c r="U15" s="824">
        <f>'BUDGET CORCOVADO 3+1'!$B$18*U8</f>
        <v/>
      </c>
      <c r="V15" s="824">
        <f>'BUDGET CORCOVADO 3+2'!$B$18*V8</f>
        <v/>
      </c>
      <c r="W15" s="824">
        <f>'BUDGET CORCOVADO 4'!$B$18*W8</f>
        <v/>
      </c>
      <c r="X15" s="825">
        <f>'BUDGET CORCOVADO 4+1'!$B$18*X8</f>
        <v/>
      </c>
      <c r="Y15" s="825">
        <f>'BUDGET CORCOVADO 5'!$B$18*Y8</f>
        <v/>
      </c>
    </row>
    <row r="16" ht="40" customHeight="1" s="474">
      <c r="B16" s="515" t="inlineStr">
        <is>
          <t>7.EXTRAS</t>
        </is>
      </c>
      <c r="C16" s="826">
        <f>'BUDGET COIGUE 1'!$B$19*C8</f>
        <v/>
      </c>
      <c r="D16" s="826">
        <f>'BUDGET COIGUE 2'!$B$19*D8</f>
        <v/>
      </c>
      <c r="E16" s="826">
        <f>'BUDGET COIGUE 2+1'!$B$19*E8</f>
        <v/>
      </c>
      <c r="F16" s="826">
        <f>'BUDGET NIRE 1'!$B$19*F8</f>
        <v/>
      </c>
      <c r="G16" s="826">
        <f>'BUDGET NIRE 2'!$B$19*G8</f>
        <v/>
      </c>
      <c r="H16" s="827">
        <f>'BUDGET NIRE 2+1'!$B$19*H8</f>
        <v/>
      </c>
      <c r="I16" s="827">
        <f>'BUDGET NIRE 2+2'!$B$19*I8</f>
        <v/>
      </c>
      <c r="J16" s="826">
        <f>'BUDGET CHAITEN 1'!$B$19*J8</f>
        <v/>
      </c>
      <c r="K16" s="826">
        <f>'BUDGET CHAITEN 2'!$B$19*K8</f>
        <v/>
      </c>
      <c r="L16" s="827">
        <f>'BUDGET CHAITEN 3'!$B$19*L8</f>
        <v/>
      </c>
      <c r="M16" s="826">
        <f>'BUDGET CHAITEN 2+1'!$B$19*M8</f>
        <v/>
      </c>
      <c r="N16" s="827">
        <f>'BUDGET CHAITEN 2+2'!$B$19*N8</f>
        <v/>
      </c>
      <c r="O16" s="826">
        <f>'BUDGET CORCOVADO 1'!$B$19*O8</f>
        <v/>
      </c>
      <c r="P16" s="826">
        <f>'BUDGET CORCOVADO 2'!$B$19*P8</f>
        <v/>
      </c>
      <c r="Q16" s="826">
        <f>'BUDGET CORCOVADO 2+1'!$B$19*Q8</f>
        <v/>
      </c>
      <c r="R16" s="826">
        <f>'BUDGET CORCOVADO 2+2'!$B$19*R8</f>
        <v/>
      </c>
      <c r="S16" s="826">
        <f>'BUDGET CORCOVADO 2+3'!$B$19*S8</f>
        <v/>
      </c>
      <c r="T16" s="826">
        <f>'BUDGET CORCOVADO 3'!$B$19*T8</f>
        <v/>
      </c>
      <c r="U16" s="826">
        <f>'BUDGET CORCOVADO 3+1'!$B$19*U8</f>
        <v/>
      </c>
      <c r="V16" s="826">
        <f>'BUDGET CORCOVADO 3+2'!$B$19*V8</f>
        <v/>
      </c>
      <c r="W16" s="826">
        <f>'BUDGET CORCOVADO 4'!$B$19*W8</f>
        <v/>
      </c>
      <c r="X16" s="827">
        <f>'BUDGET CORCOVADO 4+1'!$B$19*X8</f>
        <v/>
      </c>
      <c r="Y16" s="827">
        <f>'BUDGET CORCOVADO 5'!$B$19*Y8</f>
        <v/>
      </c>
    </row>
    <row r="17" ht="40" customHeight="1" s="474" thickBot="1">
      <c r="B17" s="518" t="inlineStr">
        <is>
          <t>8. QUINCHO</t>
        </is>
      </c>
      <c r="C17" s="828">
        <f>'BUDGET COIGUE 1'!$B$20*C8</f>
        <v/>
      </c>
      <c r="D17" s="828">
        <f>'BUDGET COIGUE 2'!$B$20*D8</f>
        <v/>
      </c>
      <c r="E17" s="828">
        <f>'BUDGET COIGUE 2+1'!$B$20*E8</f>
        <v/>
      </c>
      <c r="F17" s="828">
        <f>'BUDGET NIRE 1'!$B$20*F8</f>
        <v/>
      </c>
      <c r="G17" s="828">
        <f>'BUDGET NIRE 2'!$B$20*G8</f>
        <v/>
      </c>
      <c r="H17" s="829">
        <f>'BUDGET NIRE 2+1'!$B$20*H8</f>
        <v/>
      </c>
      <c r="I17" s="829">
        <f>'BUDGET NIRE 2+2'!$B$20*I8</f>
        <v/>
      </c>
      <c r="J17" s="828">
        <f>'BUDGET CHAITEN 1'!$B$20*J8</f>
        <v/>
      </c>
      <c r="K17" s="828">
        <f>'BUDGET CHAITEN 2'!$B$20*K8</f>
        <v/>
      </c>
      <c r="L17" s="829">
        <f>'BUDGET CHAITEN 3'!$B$20*L8</f>
        <v/>
      </c>
      <c r="M17" s="828">
        <f>'BUDGET CHAITEN 2+1'!$B$20*M8</f>
        <v/>
      </c>
      <c r="N17" s="829">
        <f>'BUDGET CHAITEN 2+2'!$B$20*N8</f>
        <v/>
      </c>
      <c r="O17" s="828">
        <f>'BUDGET CORCOVADO 1'!$B$20*O8</f>
        <v/>
      </c>
      <c r="P17" s="828">
        <f>'BUDGET CORCOVADO 2'!$B$20*P8</f>
        <v/>
      </c>
      <c r="Q17" s="828">
        <f>'BUDGET CORCOVADO 2+1'!$B$20*Q8</f>
        <v/>
      </c>
      <c r="R17" s="828">
        <f>'BUDGET CORCOVADO 2+2'!$B$20*R8</f>
        <v/>
      </c>
      <c r="S17" s="828">
        <f>'BUDGET CORCOVADO 2+3'!$B$20*S8</f>
        <v/>
      </c>
      <c r="T17" s="828">
        <f>'BUDGET CORCOVADO 2'!$B$20*T8</f>
        <v/>
      </c>
      <c r="U17" s="828">
        <f>'BUDGET CORCOVADO 2'!$B$20*U8</f>
        <v/>
      </c>
      <c r="V17" s="828">
        <f>'BUDGET CORCOVADO 3+2'!$B$20*V8</f>
        <v/>
      </c>
      <c r="W17" s="828">
        <f>'BUDGET CORCOVADO 2'!$B$20*W8</f>
        <v/>
      </c>
      <c r="X17" s="829">
        <f>'BUDGET CORCOVADO 4+1'!$B$20*X8</f>
        <v/>
      </c>
      <c r="Y17" s="829">
        <f>'BUDGET CORCOVADO 5'!$B$20*Y8</f>
        <v/>
      </c>
    </row>
    <row r="18" ht="28" customHeight="1" s="474" thickBot="1">
      <c r="B18" s="521" t="n"/>
      <c r="C18" s="830" t="n"/>
      <c r="D18" s="830" t="n"/>
      <c r="E18" s="831" t="n"/>
      <c r="F18" s="830" t="n"/>
      <c r="G18" s="830" t="n"/>
      <c r="H18" s="831" t="n"/>
      <c r="I18" s="831" t="n"/>
      <c r="J18" s="830" t="n"/>
      <c r="K18" s="830" t="n"/>
      <c r="L18" s="831" t="n"/>
      <c r="M18" s="830" t="n"/>
      <c r="N18" s="831" t="n"/>
      <c r="O18" s="830" t="n"/>
      <c r="P18" s="830" t="n"/>
      <c r="Q18" s="830" t="n"/>
      <c r="R18" s="830" t="n"/>
      <c r="S18" s="830" t="n"/>
      <c r="T18" s="830" t="n"/>
      <c r="U18" s="830" t="n"/>
      <c r="V18" s="830" t="n"/>
      <c r="W18" s="830" t="n"/>
      <c r="X18" s="831" t="n"/>
      <c r="Y18" s="831" t="n"/>
    </row>
    <row r="19" ht="40" customFormat="1" customHeight="1" s="526" thickBot="1">
      <c r="B19" s="524" t="inlineStr">
        <is>
          <t>SUBTOTAL SEM CC</t>
        </is>
      </c>
      <c r="C19" s="832">
        <f>SUM(C10:C17)</f>
        <v/>
      </c>
      <c r="D19" s="832">
        <f>SUM(D10:D17)</f>
        <v/>
      </c>
      <c r="E19" s="833">
        <f>SUM(E10:E17)</f>
        <v/>
      </c>
      <c r="F19" s="832">
        <f>SUM(F10:F17)</f>
        <v/>
      </c>
      <c r="G19" s="832">
        <f>SUM(G10:G17)</f>
        <v/>
      </c>
      <c r="H19" s="833">
        <f>SUM(H10:H17)</f>
        <v/>
      </c>
      <c r="I19" s="833">
        <f>SUM(I10:I17)</f>
        <v/>
      </c>
      <c r="J19" s="832">
        <f>SUM(J10:J17)</f>
        <v/>
      </c>
      <c r="K19" s="832">
        <f>SUM(K10:K17)</f>
        <v/>
      </c>
      <c r="L19" s="833">
        <f>SUM(L10:L17)</f>
        <v/>
      </c>
      <c r="M19" s="832">
        <f>SUM(M10:M17)</f>
        <v/>
      </c>
      <c r="N19" s="833">
        <f>SUM(N10:N17)</f>
        <v/>
      </c>
      <c r="O19" s="832">
        <f>SUM(O10:O17)</f>
        <v/>
      </c>
      <c r="P19" s="832">
        <f>SUM(P10:P17)</f>
        <v/>
      </c>
      <c r="Q19" s="832">
        <f>SUM(Q10:Q17)</f>
        <v/>
      </c>
      <c r="R19" s="832">
        <f>SUM(R10:R17)</f>
        <v/>
      </c>
      <c r="S19" s="832">
        <f>SUM(S10:S17)</f>
        <v/>
      </c>
      <c r="T19" s="832">
        <f>SUM(T10:T17)</f>
        <v/>
      </c>
      <c r="U19" s="832">
        <f>SUM(U10:U17)</f>
        <v/>
      </c>
      <c r="V19" s="832">
        <f>SUM(V10:V17)</f>
        <v/>
      </c>
      <c r="W19" s="832">
        <f>SUM(W10:W17)</f>
        <v/>
      </c>
      <c r="X19" s="833">
        <f>SUM(X10:X17)</f>
        <v/>
      </c>
      <c r="Y19" s="833">
        <f>SUM(Y10:Y17)</f>
        <v/>
      </c>
    </row>
    <row r="20" ht="29" customFormat="1" customHeight="1" s="526" thickBot="1">
      <c r="B20" s="527" t="inlineStr">
        <is>
          <t>Taxa CC</t>
        </is>
      </c>
      <c r="C20" s="834">
        <f>C19*$C$24</f>
        <v/>
      </c>
      <c r="D20" s="834">
        <f>D19*$C$24</f>
        <v/>
      </c>
      <c r="E20" s="835">
        <f>E19*$C$24</f>
        <v/>
      </c>
      <c r="F20" s="834">
        <f>F19*$C$24</f>
        <v/>
      </c>
      <c r="G20" s="834">
        <f>G19*$C$24</f>
        <v/>
      </c>
      <c r="H20" s="835">
        <f>H19*$C$24</f>
        <v/>
      </c>
      <c r="I20" s="835">
        <f>I19*$C$24</f>
        <v/>
      </c>
      <c r="J20" s="834">
        <f>J19*$C$24</f>
        <v/>
      </c>
      <c r="K20" s="834">
        <f>K19*$C$24</f>
        <v/>
      </c>
      <c r="L20" s="835">
        <f>L19*$C$24</f>
        <v/>
      </c>
      <c r="M20" s="834">
        <f>M19*$C$24</f>
        <v/>
      </c>
      <c r="N20" s="835">
        <f>N19*$C$24</f>
        <v/>
      </c>
      <c r="O20" s="834">
        <f>O19*$C$24</f>
        <v/>
      </c>
      <c r="P20" s="834">
        <f>P19*$C$24</f>
        <v/>
      </c>
      <c r="Q20" s="834">
        <f>Q19*$C$24</f>
        <v/>
      </c>
      <c r="R20" s="834">
        <f>R19*$C$24</f>
        <v/>
      </c>
      <c r="S20" s="834">
        <f>S19*$C$24</f>
        <v/>
      </c>
      <c r="T20" s="834">
        <f>T19*$C$24</f>
        <v/>
      </c>
      <c r="U20" s="834">
        <f>U19*$C$24</f>
        <v/>
      </c>
      <c r="V20" s="834">
        <f>V19*$C$24</f>
        <v/>
      </c>
      <c r="W20" s="834">
        <f>W19*$C$24</f>
        <v/>
      </c>
      <c r="X20" s="835">
        <f>X19*$C$24</f>
        <v/>
      </c>
      <c r="Y20" s="835">
        <f>Y19*$C$24</f>
        <v/>
      </c>
    </row>
    <row r="21" ht="40" customFormat="1" customHeight="1" s="526" thickBot="1">
      <c r="B21" s="530" t="inlineStr">
        <is>
          <t>SUBTOTAL COM CC</t>
        </is>
      </c>
      <c r="C21" s="836">
        <f>C19+C20</f>
        <v/>
      </c>
      <c r="D21" s="836">
        <f>D19+D20</f>
        <v/>
      </c>
      <c r="E21" s="837">
        <f>E19+E20</f>
        <v/>
      </c>
      <c r="F21" s="836">
        <f>F19+F20</f>
        <v/>
      </c>
      <c r="G21" s="836">
        <f>G19+G20</f>
        <v/>
      </c>
      <c r="H21" s="837">
        <f>H19+H20</f>
        <v/>
      </c>
      <c r="I21" s="837">
        <f>I19+I20</f>
        <v/>
      </c>
      <c r="J21" s="836">
        <f>J19+J20</f>
        <v/>
      </c>
      <c r="K21" s="836">
        <f>K19+K20</f>
        <v/>
      </c>
      <c r="L21" s="837">
        <f>L19+L20</f>
        <v/>
      </c>
      <c r="M21" s="836">
        <f>M19+M20</f>
        <v/>
      </c>
      <c r="N21" s="837">
        <f>N19+N20</f>
        <v/>
      </c>
      <c r="O21" s="836">
        <f>O19+O20</f>
        <v/>
      </c>
      <c r="P21" s="836">
        <f>P19+P20</f>
        <v/>
      </c>
      <c r="Q21" s="836">
        <f>Q19+Q20</f>
        <v/>
      </c>
      <c r="R21" s="836">
        <f>R19+R20</f>
        <v/>
      </c>
      <c r="S21" s="836">
        <f>S19+S20</f>
        <v/>
      </c>
      <c r="T21" s="836">
        <f>T19+T20</f>
        <v/>
      </c>
      <c r="U21" s="836">
        <f>U19+U20</f>
        <v/>
      </c>
      <c r="V21" s="836">
        <f>V19+V20</f>
        <v/>
      </c>
      <c r="W21" s="836">
        <f>W19+W20</f>
        <v/>
      </c>
      <c r="X21" s="837">
        <f>X19+X20</f>
        <v/>
      </c>
      <c r="Y21" s="837">
        <f>Y19+Y20</f>
        <v/>
      </c>
    </row>
    <row r="22" ht="13" customFormat="1" customHeight="1" s="526" thickBot="1">
      <c r="B22" s="533" t="n"/>
      <c r="C22" s="838" t="n"/>
      <c r="D22" s="838" t="n"/>
      <c r="E22" s="839" t="n"/>
      <c r="F22" s="838" t="n"/>
      <c r="G22" s="838" t="n"/>
      <c r="H22" s="839" t="n"/>
      <c r="I22" s="839" t="n"/>
      <c r="J22" s="838" t="n"/>
      <c r="K22" s="838" t="n"/>
      <c r="L22" s="839" t="n"/>
      <c r="M22" s="838" t="n"/>
      <c r="N22" s="839" t="n"/>
      <c r="O22" s="838" t="n"/>
      <c r="P22" s="838" t="n"/>
      <c r="Q22" s="838" t="n"/>
      <c r="R22" s="838" t="n"/>
      <c r="S22" s="838" t="n"/>
      <c r="T22" s="838" t="n"/>
      <c r="U22" s="838" t="n"/>
      <c r="V22" s="838" t="n"/>
      <c r="W22" s="838" t="n"/>
      <c r="X22" s="839" t="n"/>
      <c r="Y22" s="839" t="n"/>
    </row>
    <row r="23" ht="30" customFormat="1" customHeight="1" s="661" thickBot="1">
      <c r="B23" s="536" t="inlineStr">
        <is>
          <t>taxa agência</t>
        </is>
      </c>
      <c r="C23" s="1063">
        <f>'[1]⚙️ INPUTS'!$B$34</f>
        <v/>
      </c>
      <c r="D23" s="673" t="n"/>
      <c r="E23" s="538" t="n"/>
      <c r="F23" s="673" t="n"/>
      <c r="G23" s="673" t="n"/>
      <c r="H23" s="538" t="n"/>
      <c r="I23" s="538" t="n"/>
      <c r="J23" s="673" t="n"/>
      <c r="K23" s="673" t="n"/>
      <c r="L23" s="673" t="n"/>
      <c r="M23" s="673" t="n"/>
      <c r="N23" s="538" t="n"/>
      <c r="O23" s="673" t="n"/>
      <c r="P23" s="673" t="n"/>
      <c r="Q23" s="673" t="n"/>
      <c r="R23" s="673" t="n"/>
      <c r="S23" s="673" t="n"/>
      <c r="T23" s="673" t="n"/>
      <c r="U23" s="673" t="n"/>
      <c r="V23" s="673" t="n"/>
      <c r="W23" s="673" t="n"/>
      <c r="X23" s="673" t="n"/>
      <c r="Y23" s="673" t="n"/>
    </row>
    <row r="24" ht="30" customFormat="1" customHeight="1" s="661" thickBot="1">
      <c r="B24" s="539" t="inlineStr">
        <is>
          <t>taxa SUMUP</t>
        </is>
      </c>
      <c r="C24" s="1063">
        <f>'[1]⚙️ INPUTS'!$B$33</f>
        <v/>
      </c>
      <c r="D24" s="673" t="n"/>
      <c r="E24" s="538" t="n"/>
      <c r="F24" s="673" t="n"/>
      <c r="G24" s="673" t="n"/>
      <c r="H24" s="538" t="n"/>
      <c r="I24" s="538" t="n"/>
      <c r="J24" s="673" t="n"/>
      <c r="K24" s="673" t="n"/>
      <c r="L24" s="673" t="n"/>
      <c r="M24" s="673" t="n"/>
      <c r="N24" s="538" t="n"/>
      <c r="O24" s="673" t="n"/>
      <c r="P24" s="673" t="n"/>
      <c r="Q24" s="673" t="n"/>
      <c r="R24" s="673" t="n"/>
      <c r="S24" s="673" t="n"/>
      <c r="T24" s="673" t="n"/>
      <c r="U24" s="673" t="n"/>
      <c r="V24" s="673" t="n"/>
      <c r="W24" s="673" t="n"/>
      <c r="X24" s="673" t="n"/>
      <c r="Y24" s="673" t="n"/>
    </row>
    <row r="25" ht="48" customFormat="1" customHeight="1" s="489">
      <c r="B25" s="540" t="inlineStr">
        <is>
          <t>SUBTOTAL COM TAXA AG E PAGO CASH</t>
        </is>
      </c>
      <c r="C25" s="841">
        <f>C19+(C19*$C$23)</f>
        <v/>
      </c>
      <c r="D25" s="841">
        <f>D19+(D19*$C$23)</f>
        <v/>
      </c>
      <c r="E25" s="842">
        <f>E19+(E19*$C$23)</f>
        <v/>
      </c>
      <c r="F25" s="841">
        <f>F19+(F19*$C$23)</f>
        <v/>
      </c>
      <c r="G25" s="841">
        <f>G19+(G19*$C$23)</f>
        <v/>
      </c>
      <c r="H25" s="842">
        <f>H19+(H19*$C$23)</f>
        <v/>
      </c>
      <c r="I25" s="842">
        <f>I19+(I19*$C$23)</f>
        <v/>
      </c>
      <c r="J25" s="841">
        <f>J19+(J19*$C$23)</f>
        <v/>
      </c>
      <c r="K25" s="841">
        <f>K19+(K19*$C$23)</f>
        <v/>
      </c>
      <c r="L25" s="842">
        <f>L19+(L19*$C$23)</f>
        <v/>
      </c>
      <c r="M25" s="841">
        <f>M19+(M19*$C$23)</f>
        <v/>
      </c>
      <c r="N25" s="842">
        <f>N19+(N19*$C$23)</f>
        <v/>
      </c>
      <c r="O25" s="841">
        <f>O19+(O19*$C$23)</f>
        <v/>
      </c>
      <c r="P25" s="841">
        <f>P19+(P19*$C$23)</f>
        <v/>
      </c>
      <c r="Q25" s="841">
        <f>Q19+(Q19*$C$23)</f>
        <v/>
      </c>
      <c r="R25" s="841">
        <f>R19+(R19*$C$23)</f>
        <v/>
      </c>
      <c r="S25" s="841">
        <f>S19+(S19*$C$23)</f>
        <v/>
      </c>
      <c r="T25" s="841">
        <f>T19+(T19*$C$23)</f>
        <v/>
      </c>
      <c r="U25" s="841">
        <f>U19+(U19*$C$23)</f>
        <v/>
      </c>
      <c r="V25" s="841">
        <f>V19+(V19*$C$23)</f>
        <v/>
      </c>
      <c r="W25" s="841">
        <f>W19+(W19*$C$23)</f>
        <v/>
      </c>
      <c r="X25" s="842">
        <f>X19+(X19*$C$23)</f>
        <v/>
      </c>
      <c r="Y25" s="842">
        <f>Y19+(Y19*$C$23)</f>
        <v/>
      </c>
    </row>
    <row r="26" ht="49" customFormat="1" customHeight="1" s="489" thickBot="1">
      <c r="B26" s="543" t="inlineStr">
        <is>
          <t>SUBTOTAL COM TAXA DE AG [pago CC]</t>
        </is>
      </c>
      <c r="C26" s="843">
        <f>C25+(C25*$C$24)</f>
        <v/>
      </c>
      <c r="D26" s="843">
        <f>D25+(D25*$C$24)</f>
        <v/>
      </c>
      <c r="E26" s="844">
        <f>E25+(E25*$C$24)</f>
        <v/>
      </c>
      <c r="F26" s="843">
        <f>F25+(F25*$C$24)</f>
        <v/>
      </c>
      <c r="G26" s="843">
        <f>G25+(G25*$C$24)</f>
        <v/>
      </c>
      <c r="H26" s="844">
        <f>H25+(H25*$C$24)</f>
        <v/>
      </c>
      <c r="I26" s="844">
        <f>I25+(I25*$C$24)</f>
        <v/>
      </c>
      <c r="J26" s="843">
        <f>J25+(J25*$C$24)</f>
        <v/>
      </c>
      <c r="K26" s="843">
        <f>K25+(K25*$C$24)</f>
        <v/>
      </c>
      <c r="L26" s="844">
        <f>L25+(L25*$C$24)</f>
        <v/>
      </c>
      <c r="M26" s="843">
        <f>M25+(M25*$C$24)</f>
        <v/>
      </c>
      <c r="N26" s="844">
        <f>N25+(N25*$C$24)</f>
        <v/>
      </c>
      <c r="O26" s="843">
        <f>O25+(O25*$C$24)</f>
        <v/>
      </c>
      <c r="P26" s="843">
        <f>P25+(P25*$C$24)</f>
        <v/>
      </c>
      <c r="Q26" s="843">
        <f>Q25+(Q25*$C$24)</f>
        <v/>
      </c>
      <c r="R26" s="843">
        <f>R25+(R25*$C$24)</f>
        <v/>
      </c>
      <c r="S26" s="843">
        <f>S25+(S25*$C$24)</f>
        <v/>
      </c>
      <c r="T26" s="843">
        <f>T25+(T25*$C$24)</f>
        <v/>
      </c>
      <c r="U26" s="843">
        <f>U25+(U25*$C$24)</f>
        <v/>
      </c>
      <c r="V26" s="843">
        <f>V25+(V25*$C$24)</f>
        <v/>
      </c>
      <c r="W26" s="843">
        <f>W25+(W25*$C$24)</f>
        <v/>
      </c>
      <c r="X26" s="844">
        <f>X25+(X25*$C$24)</f>
        <v/>
      </c>
      <c r="Y26" s="844">
        <f>Y25+(Y25*$C$24)</f>
        <v/>
      </c>
    </row>
    <row r="27" ht="40" customHeight="1" s="474" thickBot="1">
      <c r="B27" s="545" t="inlineStr">
        <is>
          <t>GANHO COMISSÃO AGÊNCIA</t>
        </is>
      </c>
      <c r="C27" s="845">
        <f>C25-C19</f>
        <v/>
      </c>
      <c r="D27" s="845">
        <f>D25-D19</f>
        <v/>
      </c>
      <c r="E27" s="846">
        <f>E25-E19</f>
        <v/>
      </c>
      <c r="F27" s="845">
        <f>F25-F19</f>
        <v/>
      </c>
      <c r="G27" s="845">
        <f>G25-G19</f>
        <v/>
      </c>
      <c r="H27" s="846">
        <f>H25-H19</f>
        <v/>
      </c>
      <c r="I27" s="846">
        <f>I25-I19</f>
        <v/>
      </c>
      <c r="J27" s="845">
        <f>J25-J19</f>
        <v/>
      </c>
      <c r="K27" s="845">
        <f>K25-K19</f>
        <v/>
      </c>
      <c r="L27" s="846">
        <f>L25-L19</f>
        <v/>
      </c>
      <c r="M27" s="845">
        <f>M25-M19</f>
        <v/>
      </c>
      <c r="N27" s="846">
        <f>N25-N19</f>
        <v/>
      </c>
      <c r="O27" s="845">
        <f>O25-O19</f>
        <v/>
      </c>
      <c r="P27" s="845">
        <f>P25-P19</f>
        <v/>
      </c>
      <c r="Q27" s="845">
        <f>Q25-Q19</f>
        <v/>
      </c>
      <c r="R27" s="845">
        <f>R25-R19</f>
        <v/>
      </c>
      <c r="S27" s="845">
        <f>S25-S19</f>
        <v/>
      </c>
      <c r="T27" s="845">
        <f>T25-T19</f>
        <v/>
      </c>
      <c r="U27" s="845">
        <f>U25-U19</f>
        <v/>
      </c>
      <c r="V27" s="845">
        <f>V25-V19</f>
        <v/>
      </c>
      <c r="W27" s="845">
        <f>W25-W19</f>
        <v/>
      </c>
      <c r="X27" s="846">
        <f>X25-X19</f>
        <v/>
      </c>
      <c r="Y27" s="846">
        <f>Y25-Y19</f>
        <v/>
      </c>
    </row>
    <row r="28" ht="37" customHeight="1" s="474" thickBot="1"/>
    <row r="29" ht="40" customFormat="1" customHeight="1" s="526" thickBot="1">
      <c r="B29" s="524" t="inlineStr">
        <is>
          <t>VALOR POR PESSOA PAGO [CC]</t>
        </is>
      </c>
      <c r="C29" s="832">
        <f>C19/C6</f>
        <v/>
      </c>
      <c r="D29" s="832">
        <f>D19/D6</f>
        <v/>
      </c>
      <c r="E29" s="833">
        <f>E19/E6</f>
        <v/>
      </c>
      <c r="F29" s="832">
        <f>F19/F6</f>
        <v/>
      </c>
      <c r="G29" s="832">
        <f>G19/G6</f>
        <v/>
      </c>
      <c r="H29" s="833">
        <f>H19/H6</f>
        <v/>
      </c>
      <c r="I29" s="833">
        <f>I19/I6</f>
        <v/>
      </c>
      <c r="J29" s="832">
        <f>J19/J6</f>
        <v/>
      </c>
      <c r="K29" s="832">
        <f>K19/K6</f>
        <v/>
      </c>
      <c r="L29" s="833">
        <f>L19/L6</f>
        <v/>
      </c>
      <c r="M29" s="832">
        <f>M19/M6</f>
        <v/>
      </c>
      <c r="N29" s="833">
        <f>N19/N6</f>
        <v/>
      </c>
      <c r="O29" s="832">
        <f>O19/O6</f>
        <v/>
      </c>
      <c r="P29" s="832">
        <f>P19/P6</f>
        <v/>
      </c>
      <c r="Q29" s="832">
        <f>Q19/Q6</f>
        <v/>
      </c>
      <c r="R29" s="832">
        <f>R19/R6</f>
        <v/>
      </c>
      <c r="S29" s="832">
        <f>S19/S6</f>
        <v/>
      </c>
      <c r="T29" s="832">
        <f>T19/T6</f>
        <v/>
      </c>
      <c r="U29" s="832">
        <f>U19/U6</f>
        <v/>
      </c>
      <c r="V29" s="832">
        <f>V19/V6</f>
        <v/>
      </c>
      <c r="W29" s="832">
        <f>W19/W6</f>
        <v/>
      </c>
      <c r="X29" s="833">
        <f>X19/X6</f>
        <v/>
      </c>
      <c r="Y29" s="833">
        <f>Y19/Y6</f>
        <v/>
      </c>
    </row>
    <row r="30" ht="49" customFormat="1" customHeight="1" s="489" thickBot="1">
      <c r="B30" s="543" t="inlineStr">
        <is>
          <t xml:space="preserve">VALOR POR PESSOA COM AGÊNCIA PAGO [CC] </t>
        </is>
      </c>
      <c r="C30" s="843">
        <f>C29+(C29*C28)</f>
        <v/>
      </c>
      <c r="D30" s="843">
        <f>D29+(D29*D28)</f>
        <v/>
      </c>
      <c r="E30" s="844">
        <f>E29+(E29*E28)</f>
        <v/>
      </c>
      <c r="F30" s="843">
        <f>F29+(F29*F28)</f>
        <v/>
      </c>
      <c r="G30" s="843">
        <f>G29+(G29*G28)</f>
        <v/>
      </c>
      <c r="H30" s="844">
        <f>H29+(H29*H28)</f>
        <v/>
      </c>
      <c r="I30" s="844">
        <f>I29+(I29*I28)</f>
        <v/>
      </c>
      <c r="J30" s="843">
        <f>J29+(J29*J28)</f>
        <v/>
      </c>
      <c r="K30" s="843">
        <f>K29+(K29*K28)</f>
        <v/>
      </c>
      <c r="L30" s="844">
        <f>L29+(L29*L28)</f>
        <v/>
      </c>
      <c r="M30" s="843">
        <f>M29+(M29*M28)</f>
        <v/>
      </c>
      <c r="N30" s="844">
        <f>N29+(N29*N28)</f>
        <v/>
      </c>
      <c r="O30" s="843">
        <f>O29+(O29*O28)</f>
        <v/>
      </c>
      <c r="P30" s="843">
        <f>P29+(P29*P28)</f>
        <v/>
      </c>
      <c r="Q30" s="843">
        <f>Q29+(Q29*Q28)</f>
        <v/>
      </c>
      <c r="R30" s="843">
        <f>R29+(R29*R28)</f>
        <v/>
      </c>
      <c r="S30" s="843">
        <f>S29+(S29*S28)</f>
        <v/>
      </c>
      <c r="T30" s="843">
        <f>T29+(T29*T28)</f>
        <v/>
      </c>
      <c r="U30" s="843">
        <f>U29+(U29*U28)</f>
        <v/>
      </c>
      <c r="V30" s="843">
        <f>V29+(V29*V28)</f>
        <v/>
      </c>
      <c r="W30" s="843">
        <f>W29+(W29*W28)</f>
        <v/>
      </c>
      <c r="X30" s="844">
        <f>X29+(X29*X28)</f>
        <v/>
      </c>
      <c r="Y30" s="844">
        <f>Y29+(Y29*Y28)</f>
        <v/>
      </c>
    </row>
    <row r="31" ht="54" customHeight="1" s="474" thickBot="1">
      <c r="B31" s="545" t="inlineStr">
        <is>
          <t>GANHO COMISSÃO AGÊNCIA (por pessoa)</t>
        </is>
      </c>
      <c r="C31" s="845">
        <f>C30-C24</f>
        <v/>
      </c>
      <c r="D31" s="845">
        <f>D30-D24</f>
        <v/>
      </c>
      <c r="E31" s="846">
        <f>E30-E24</f>
        <v/>
      </c>
      <c r="F31" s="845">
        <f>F30-F24</f>
        <v/>
      </c>
      <c r="G31" s="845">
        <f>G30-G24</f>
        <v/>
      </c>
      <c r="H31" s="846">
        <f>H30-H24</f>
        <v/>
      </c>
      <c r="I31" s="846">
        <f>I30-I24</f>
        <v/>
      </c>
      <c r="J31" s="845">
        <f>J30-J24</f>
        <v/>
      </c>
      <c r="K31" s="845">
        <f>K30-K24</f>
        <v/>
      </c>
      <c r="L31" s="846">
        <f>L30-L24</f>
        <v/>
      </c>
      <c r="M31" s="845">
        <f>M30-M24</f>
        <v/>
      </c>
      <c r="N31" s="846">
        <f>N30-N24</f>
        <v/>
      </c>
      <c r="O31" s="845">
        <f>O30-O24</f>
        <v/>
      </c>
      <c r="P31" s="845">
        <f>P30-P24</f>
        <v/>
      </c>
      <c r="Q31" s="845">
        <f>Q30-Q24</f>
        <v/>
      </c>
      <c r="R31" s="845">
        <f>R30-R24</f>
        <v/>
      </c>
      <c r="S31" s="845">
        <f>S30-S24</f>
        <v/>
      </c>
      <c r="T31" s="845">
        <f>T30-T24</f>
        <v/>
      </c>
      <c r="U31" s="845">
        <f>U30-U24</f>
        <v/>
      </c>
      <c r="V31" s="845">
        <f>V30-V24</f>
        <v/>
      </c>
      <c r="W31" s="845">
        <f>W30-W24</f>
        <v/>
      </c>
      <c r="X31" s="846">
        <f>X30-X24</f>
        <v/>
      </c>
      <c r="Y31" s="846">
        <f>Y30-Y24</f>
        <v/>
      </c>
    </row>
    <row r="32" ht="20" customHeight="1" s="474"/>
    <row r="33" ht="20" customHeight="1" s="474" thickBot="1"/>
    <row r="34" ht="49" customHeight="1" s="474" thickBot="1">
      <c r="B34" s="548" t="inlineStr">
        <is>
          <t>VALORES SEM IVA 19%</t>
        </is>
      </c>
    </row>
    <row r="35" ht="20" customHeight="1" s="474"/>
    <row r="36" ht="20" customHeight="1" s="474"/>
    <row r="37" ht="20" customHeight="1" s="474"/>
    <row r="38" ht="20" customHeight="1" s="474" thickBot="1"/>
    <row r="39" ht="40" customHeight="1" s="474" thickBot="1">
      <c r="B39" s="549" t="inlineStr">
        <is>
          <t>SUBTOTAL COMISSÕES GANHO</t>
        </is>
      </c>
      <c r="C39" s="847">
        <f t="array" ref="C39:C40">'BUDGET COIGUE 1'!G20:G21</f>
        <v/>
      </c>
      <c r="D39" s="847">
        <f>SUM('BUDGET COIGUE 2'!G14:G19)</f>
        <v/>
      </c>
      <c r="E39" s="848">
        <f>SUM('BUDGET COIGUE 2+1'!G14:G19)</f>
        <v/>
      </c>
      <c r="F39" s="847">
        <f t="array" ref="F39:F40">'BUDGET NIRE 1'!G20:G21</f>
        <v/>
      </c>
      <c r="G39" s="847">
        <f t="array" ref="G39:G40">'BUDGET NIRE 2'!G20:G21</f>
        <v/>
      </c>
      <c r="H39" s="848">
        <f>SUM('BUDGET NIRE 2+1'!G14:G19)</f>
        <v/>
      </c>
      <c r="J39" s="847">
        <f t="array" ref="J39:J40">'BUDGET CHAITEN 1'!G20:G21</f>
        <v/>
      </c>
      <c r="K39" s="847">
        <f t="array" ref="K39:K40">'BUDGET CHAITEN 2'!G20:G21</f>
        <v/>
      </c>
      <c r="M39" s="847">
        <f t="array" ref="M39:M40">'BUDGET CHAITEN 2+1'!G20:G21</f>
        <v/>
      </c>
      <c r="N39" s="848">
        <f>SUM('BUDGET CHAITEN 2+2'!G20:G21)</f>
        <v/>
      </c>
      <c r="O39" s="847">
        <f t="array" ref="O39:O40">'BUDGET CORCOVADO 1'!G20:G21</f>
        <v/>
      </c>
      <c r="P39" s="847">
        <f t="array" ref="P39:P40">'BUDGET CORCOVADO 2'!G20:G21</f>
        <v/>
      </c>
      <c r="Q39" s="847">
        <f t="array" ref="Q39:Q40">'BUDGET CORCOVADO 2+1'!G20:G21</f>
        <v/>
      </c>
      <c r="R39" s="847">
        <f t="array" ref="R39:R40">'BUDGET CORCOVADO 2+2'!G20:G21</f>
        <v/>
      </c>
      <c r="S39" s="847">
        <f t="array" ref="S39:S40">'BUDGET CORCOVADO 2+3'!G20:G21</f>
        <v/>
      </c>
      <c r="T39" s="847">
        <f t="array" ref="T39:T40">'BUDGET CORCOVADO 3'!G20:G21</f>
        <v/>
      </c>
      <c r="U39" s="847">
        <f t="array" ref="U39:U40">'BUDGET CORCOVADO 3+1'!G20:G21</f>
        <v/>
      </c>
      <c r="V39" s="847">
        <f t="array" ref="V39:V40">'BUDGET CORCOVADO 3+2'!G20:G21</f>
        <v/>
      </c>
      <c r="W39" s="847">
        <f t="array" ref="W39:W40">'BUDGET CORCOVADO 4'!G20:G21</f>
        <v/>
      </c>
      <c r="X39" s="848">
        <f>SUM('BUDGET CORCOVADO 4+1'!G14:G19)</f>
        <v/>
      </c>
      <c r="Y39" s="848">
        <f>SUM('BUDGET CORCOVADO 5'!G14:G19)</f>
        <v/>
      </c>
    </row>
    <row r="40" hidden="1" ht="20" customHeight="1" s="474">
      <c r="C40" s="7" t="n">
        <v>0</v>
      </c>
      <c r="F40" s="7" t="n">
        <v>0</v>
      </c>
      <c r="G40" s="7" t="n">
        <v>0</v>
      </c>
      <c r="H40" s="552" t="n"/>
      <c r="J40" s="7" t="n">
        <v>0</v>
      </c>
      <c r="K40" s="7" t="n">
        <v>0</v>
      </c>
      <c r="M40" s="7" t="n">
        <v>0</v>
      </c>
      <c r="N40" s="552" t="n"/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552" t="n"/>
      <c r="Y40" s="552" t="n"/>
    </row>
    <row r="41" ht="25" customHeight="1" s="474">
      <c r="B41" s="553" t="inlineStr">
        <is>
          <t>2.FOOD</t>
        </is>
      </c>
      <c r="C41" s="849">
        <f>'BUDGET COIGUE 1'!G14</f>
        <v/>
      </c>
      <c r="D41" s="849">
        <f>'BUDGET COIGUE 2'!G14</f>
        <v/>
      </c>
      <c r="E41" s="850">
        <f>'BUDGET COIGUE 2+1'!G14</f>
        <v/>
      </c>
      <c r="F41" s="849">
        <f>'BUDGET NIRE 1'!G14</f>
        <v/>
      </c>
      <c r="G41" s="849">
        <f>'BUDGET NIRE 2'!G14</f>
        <v/>
      </c>
      <c r="H41" s="850">
        <f>'BUDGET NIRE 2+1'!G14</f>
        <v/>
      </c>
      <c r="J41" s="849">
        <f>'BUDGET CHAITEN 1'!G14</f>
        <v/>
      </c>
      <c r="K41" s="849">
        <f>'BUDGET CHAITEN 2'!G14</f>
        <v/>
      </c>
      <c r="M41" s="849">
        <f>'BUDGET CHAITEN 2+1'!G14</f>
        <v/>
      </c>
      <c r="N41" s="850">
        <f>'BUDGET CHAITEN 2+2'!G14</f>
        <v/>
      </c>
      <c r="O41" s="849">
        <f>'BUDGET CORCOVADO 1'!G14</f>
        <v/>
      </c>
      <c r="P41" s="849">
        <f>'BUDGET CORCOVADO 2'!G14</f>
        <v/>
      </c>
      <c r="Q41" s="849">
        <f>'BUDGET CORCOVADO 2+1'!G14</f>
        <v/>
      </c>
      <c r="R41" s="849">
        <f>'BUDGET CORCOVADO 2+2'!G14</f>
        <v/>
      </c>
      <c r="S41" s="849">
        <f>'BUDGET CORCOVADO 2+3'!G14</f>
        <v/>
      </c>
      <c r="T41" s="849">
        <f>'BUDGET CORCOVADO 3'!G14</f>
        <v/>
      </c>
      <c r="U41" s="849">
        <f>'BUDGET CORCOVADO 3+1'!G14</f>
        <v/>
      </c>
      <c r="V41" s="849">
        <f>'BUDGET CORCOVADO 3+2'!G14</f>
        <v/>
      </c>
      <c r="W41" s="849">
        <f>'BUDGET CORCOVADO 4'!G14</f>
        <v/>
      </c>
      <c r="X41" s="850">
        <f>'BUDGET CORCOVADO 4+1'!G14</f>
        <v/>
      </c>
      <c r="Y41" s="850">
        <f>'BUDGET CORCOVADO 5'!G14</f>
        <v/>
      </c>
    </row>
    <row r="42" ht="25" customHeight="1" s="474">
      <c r="B42" s="553" t="inlineStr">
        <is>
          <t>3.DRINKS</t>
        </is>
      </c>
      <c r="C42" s="849">
        <f>'BUDGET COIGUE 1'!G15</f>
        <v/>
      </c>
      <c r="D42" s="849">
        <f>'BUDGET COIGUE 2'!G15</f>
        <v/>
      </c>
      <c r="E42" s="850">
        <f>'BUDGET COIGUE 2+1'!G15</f>
        <v/>
      </c>
      <c r="F42" s="849">
        <f>'BUDGET NIRE 1'!G15</f>
        <v/>
      </c>
      <c r="G42" s="849">
        <f>'BUDGET NIRE 2'!G15</f>
        <v/>
      </c>
      <c r="H42" s="850">
        <f>'BUDGET NIRE 2+1'!G15</f>
        <v/>
      </c>
      <c r="J42" s="849">
        <f>'BUDGET CHAITEN 1'!G15</f>
        <v/>
      </c>
      <c r="K42" s="849">
        <f>'BUDGET CHAITEN 2'!G15</f>
        <v/>
      </c>
      <c r="M42" s="849">
        <f>'BUDGET CHAITEN 2+1'!G15</f>
        <v/>
      </c>
      <c r="N42" s="850">
        <f>'BUDGET CHAITEN 2+2'!G15</f>
        <v/>
      </c>
      <c r="O42" s="849">
        <f>'BUDGET CORCOVADO 1'!G15</f>
        <v/>
      </c>
      <c r="P42" s="849">
        <f>'BUDGET CORCOVADO 2'!G15</f>
        <v/>
      </c>
      <c r="Q42" s="849">
        <f>'BUDGET CORCOVADO 2+1'!G15</f>
        <v/>
      </c>
      <c r="R42" s="849">
        <f>'BUDGET CORCOVADO 2+2'!G15</f>
        <v/>
      </c>
      <c r="S42" s="849">
        <f>'BUDGET CORCOVADO 2+3'!G15</f>
        <v/>
      </c>
      <c r="T42" s="849">
        <f>'BUDGET CORCOVADO 3'!G15</f>
        <v/>
      </c>
      <c r="U42" s="849">
        <f>'BUDGET CORCOVADO 3+1'!G15</f>
        <v/>
      </c>
      <c r="V42" s="849">
        <f>'BUDGET CORCOVADO 3+2'!G15</f>
        <v/>
      </c>
      <c r="W42" s="849">
        <f>'BUDGET CORCOVADO 4'!G15</f>
        <v/>
      </c>
      <c r="X42" s="850">
        <f>'BUDGET CORCOVADO 4+1'!G15</f>
        <v/>
      </c>
      <c r="Y42" s="850">
        <f>'BUDGET CORCOVADO 5'!G15</f>
        <v/>
      </c>
    </row>
    <row r="43" ht="25" customHeight="1" s="474">
      <c r="B43" s="553" t="inlineStr">
        <is>
          <t>4. ACTIVITIES</t>
        </is>
      </c>
      <c r="C43" s="849">
        <f>'BUDGET COIGUE 1'!G16</f>
        <v/>
      </c>
      <c r="D43" s="849">
        <f>'BUDGET COIGUE 2'!G16</f>
        <v/>
      </c>
      <c r="E43" s="850">
        <f>'BUDGET COIGUE 2+1'!G16</f>
        <v/>
      </c>
      <c r="F43" s="849">
        <f>'BUDGET NIRE 1'!G16</f>
        <v/>
      </c>
      <c r="G43" s="849">
        <f>'BUDGET NIRE 2'!G16</f>
        <v/>
      </c>
      <c r="H43" s="850">
        <f>'BUDGET NIRE 2+1'!G16</f>
        <v/>
      </c>
      <c r="J43" s="849">
        <f>'BUDGET CHAITEN 1'!G16</f>
        <v/>
      </c>
      <c r="K43" s="849">
        <f>'BUDGET CHAITEN 2'!G16</f>
        <v/>
      </c>
      <c r="M43" s="849">
        <f>'BUDGET CHAITEN 2+1'!G16</f>
        <v/>
      </c>
      <c r="N43" s="850">
        <f>'BUDGET CHAITEN 2+2'!G16</f>
        <v/>
      </c>
      <c r="O43" s="849">
        <f>'BUDGET CORCOVADO 1'!G16</f>
        <v/>
      </c>
      <c r="P43" s="849">
        <f>'BUDGET CORCOVADO 2'!G16</f>
        <v/>
      </c>
      <c r="Q43" s="849">
        <f>'BUDGET CORCOVADO 2+1'!G16</f>
        <v/>
      </c>
      <c r="R43" s="849">
        <f>'BUDGET CORCOVADO 2+2'!G16</f>
        <v/>
      </c>
      <c r="S43" s="849">
        <f>'BUDGET CORCOVADO 2+3'!G16</f>
        <v/>
      </c>
      <c r="T43" s="849">
        <f>'BUDGET CORCOVADO 3'!G16</f>
        <v/>
      </c>
      <c r="U43" s="849">
        <f>'BUDGET CORCOVADO 3+1'!G16</f>
        <v/>
      </c>
      <c r="V43" s="849">
        <f>'BUDGET CORCOVADO 3+2'!G16</f>
        <v/>
      </c>
      <c r="W43" s="849">
        <f>'BUDGET CORCOVADO 4'!G16</f>
        <v/>
      </c>
      <c r="X43" s="850">
        <f>'BUDGET CORCOVADO 4+1'!G16</f>
        <v/>
      </c>
      <c r="Y43" s="850">
        <f>'BUDGET CORCOVADO 5'!G16</f>
        <v/>
      </c>
    </row>
    <row r="44" ht="25" customHeight="1" s="474">
      <c r="B44" s="553" t="inlineStr">
        <is>
          <t>5.TRANSPORT</t>
        </is>
      </c>
      <c r="C44" s="849">
        <f>'BUDGET COIGUE 1'!G17</f>
        <v/>
      </c>
      <c r="D44" s="849">
        <f>'BUDGET COIGUE 2'!G17</f>
        <v/>
      </c>
      <c r="E44" s="850">
        <f>'BUDGET COIGUE 2+1'!G17</f>
        <v/>
      </c>
      <c r="F44" s="849">
        <f>'BUDGET NIRE 1'!G17</f>
        <v/>
      </c>
      <c r="G44" s="849">
        <f>'BUDGET NIRE 2'!G17</f>
        <v/>
      </c>
      <c r="H44" s="850">
        <f>'BUDGET NIRE 2+1'!G17</f>
        <v/>
      </c>
      <c r="J44" s="849">
        <f>'BUDGET CHAITEN 1'!G17</f>
        <v/>
      </c>
      <c r="K44" s="849">
        <f>'BUDGET CHAITEN 2'!G17</f>
        <v/>
      </c>
      <c r="M44" s="849">
        <f>'BUDGET CHAITEN 2+1'!G17</f>
        <v/>
      </c>
      <c r="N44" s="850">
        <f>'BUDGET CHAITEN 2+2'!G17</f>
        <v/>
      </c>
      <c r="O44" s="849">
        <f>'BUDGET CORCOVADO 1'!G17</f>
        <v/>
      </c>
      <c r="P44" s="849">
        <f>'BUDGET CORCOVADO 2'!G17</f>
        <v/>
      </c>
      <c r="Q44" s="849">
        <f>'BUDGET CORCOVADO 2+1'!G17</f>
        <v/>
      </c>
      <c r="R44" s="849">
        <f>'BUDGET CORCOVADO 2+2'!G17</f>
        <v/>
      </c>
      <c r="S44" s="849">
        <f>'BUDGET CORCOVADO 2+3'!G17</f>
        <v/>
      </c>
      <c r="T44" s="849">
        <f>'BUDGET CORCOVADO 3'!G17</f>
        <v/>
      </c>
      <c r="U44" s="849">
        <f>'BUDGET CORCOVADO 3+1'!G17</f>
        <v/>
      </c>
      <c r="V44" s="849">
        <f>'BUDGET CORCOVADO 3+2'!G17</f>
        <v/>
      </c>
      <c r="W44" s="849">
        <f>'BUDGET CORCOVADO 4'!G17</f>
        <v/>
      </c>
      <c r="X44" s="850">
        <f>'BUDGET CORCOVADO 4+1'!G17</f>
        <v/>
      </c>
      <c r="Y44" s="850">
        <f>'BUDGET CORCOVADO 5'!G17</f>
        <v/>
      </c>
    </row>
    <row r="45" ht="25" customFormat="1" customHeight="1" s="661">
      <c r="B45" s="553" t="inlineStr">
        <is>
          <t>6.EXPERIENCES</t>
        </is>
      </c>
      <c r="C45" s="849">
        <f>'BUDGET COIGUE 1'!G18</f>
        <v/>
      </c>
      <c r="D45" s="849">
        <f>'BUDGET COIGUE 2'!G18</f>
        <v/>
      </c>
      <c r="E45" s="850">
        <f>'BUDGET COIGUE 2+1'!G18</f>
        <v/>
      </c>
      <c r="F45" s="849">
        <f>'BUDGET NIRE 1'!G18</f>
        <v/>
      </c>
      <c r="G45" s="849">
        <f>'BUDGET NIRE 2'!G18</f>
        <v/>
      </c>
      <c r="H45" s="850">
        <f>'BUDGET NIRE 2+1'!G18</f>
        <v/>
      </c>
      <c r="J45" s="849">
        <f>'BUDGET CHAITEN 1'!G18</f>
        <v/>
      </c>
      <c r="K45" s="849">
        <f>'BUDGET CHAITEN 2'!G18</f>
        <v/>
      </c>
      <c r="M45" s="849">
        <f>'BUDGET CHAITEN 2+1'!G18</f>
        <v/>
      </c>
      <c r="N45" s="850">
        <f>'BUDGET CHAITEN 2+2'!G18</f>
        <v/>
      </c>
      <c r="O45" s="849">
        <f>'BUDGET CORCOVADO 1'!G18</f>
        <v/>
      </c>
      <c r="P45" s="849">
        <f>'BUDGET CORCOVADO 2'!G18</f>
        <v/>
      </c>
      <c r="Q45" s="849">
        <f>'BUDGET CORCOVADO 2+1'!G18</f>
        <v/>
      </c>
      <c r="R45" s="849">
        <f>'BUDGET CORCOVADO 2+2'!G18</f>
        <v/>
      </c>
      <c r="S45" s="849">
        <f>'BUDGET CORCOVADO 2+3'!G18</f>
        <v/>
      </c>
      <c r="T45" s="849">
        <f>'BUDGET CORCOVADO 3'!G18</f>
        <v/>
      </c>
      <c r="U45" s="849">
        <f>'BUDGET CORCOVADO 3+1'!G18</f>
        <v/>
      </c>
      <c r="V45" s="849">
        <f>'BUDGET CORCOVADO 3+2'!G18</f>
        <v/>
      </c>
      <c r="W45" s="849">
        <f>'BUDGET CORCOVADO 4'!G18</f>
        <v/>
      </c>
      <c r="X45" s="850">
        <f>'BUDGET CORCOVADO 4+1'!G18</f>
        <v/>
      </c>
      <c r="Y45" s="850">
        <f>'BUDGET CORCOVADO 5'!G18</f>
        <v/>
      </c>
    </row>
    <row r="46" ht="25" customHeight="1" s="474">
      <c r="B46" s="553" t="inlineStr">
        <is>
          <t>7.EXTRAS</t>
        </is>
      </c>
      <c r="C46" s="849">
        <f>'BUDGET COIGUE 1'!G19</f>
        <v/>
      </c>
      <c r="D46" s="849">
        <f>'BUDGET COIGUE 2'!G19</f>
        <v/>
      </c>
      <c r="E46" s="850">
        <f>'BUDGET COIGUE 2+1'!G19</f>
        <v/>
      </c>
      <c r="F46" s="849">
        <f>'BUDGET NIRE 1'!G19</f>
        <v/>
      </c>
      <c r="G46" s="849">
        <f>'BUDGET NIRE 2'!G19</f>
        <v/>
      </c>
      <c r="H46" s="850">
        <f>'BUDGET NIRE 2+1'!G19</f>
        <v/>
      </c>
      <c r="J46" s="849">
        <f>'BUDGET CHAITEN 1'!G19</f>
        <v/>
      </c>
      <c r="K46" s="849">
        <f>'BUDGET CHAITEN 2'!G19</f>
        <v/>
      </c>
      <c r="M46" s="849">
        <f>'BUDGET CHAITEN 2+1'!G19</f>
        <v/>
      </c>
      <c r="N46" s="850">
        <f>'BUDGET CHAITEN 2+2'!G19</f>
        <v/>
      </c>
      <c r="O46" s="849">
        <f>'BUDGET CORCOVADO 1'!G19</f>
        <v/>
      </c>
      <c r="P46" s="849">
        <f>'BUDGET CORCOVADO 2'!G19</f>
        <v/>
      </c>
      <c r="Q46" s="849">
        <f>'BUDGET CORCOVADO 2+1'!G19</f>
        <v/>
      </c>
      <c r="R46" s="849">
        <f>'BUDGET CORCOVADO 2+2'!G19</f>
        <v/>
      </c>
      <c r="S46" s="849">
        <f>'BUDGET CORCOVADO 2+3'!G19</f>
        <v/>
      </c>
      <c r="T46" s="849">
        <f>'BUDGET CORCOVADO 3'!G19</f>
        <v/>
      </c>
      <c r="U46" s="849">
        <f>'BUDGET CORCOVADO 3+1'!G19</f>
        <v/>
      </c>
      <c r="V46" s="849">
        <f>'BUDGET CORCOVADO 3+2'!G19</f>
        <v/>
      </c>
      <c r="W46" s="849">
        <f>'BUDGET CORCOVADO 4'!G19</f>
        <v/>
      </c>
      <c r="X46" s="850">
        <f>'BUDGET CORCOVADO 4+1'!G19</f>
        <v/>
      </c>
      <c r="Y46" s="850">
        <f>'BUDGET CORCOVADO 5'!G19</f>
        <v/>
      </c>
    </row>
    <row r="47" hidden="1" ht="20" customHeight="1" s="474"/>
    <row r="48" ht="20" customHeight="1" s="474"/>
    <row r="49" ht="20" customHeight="1" s="474"/>
    <row r="50" ht="20" customHeight="1" s="474"/>
    <row r="51" ht="20" customHeight="1" s="474"/>
    <row r="52" ht="20" customHeight="1" s="474"/>
    <row r="53" ht="20" customHeight="1" s="474"/>
    <row r="54" ht="48" customHeight="1" s="474"/>
    <row r="55" ht="11" customFormat="1" customHeight="1" s="661">
      <c r="B55" s="659" t="n"/>
      <c r="C55" s="7" t="n"/>
      <c r="D55" s="7" t="n"/>
      <c r="E55" s="7" t="n"/>
      <c r="F55" s="7" t="n"/>
      <c r="G55" s="7" t="n"/>
      <c r="H55" s="7" t="n"/>
      <c r="J55" s="7" t="n"/>
      <c r="K55" s="7" t="n"/>
      <c r="M55" s="7" t="n"/>
      <c r="N55" s="7" t="n"/>
    </row>
    <row r="56" ht="42" customFormat="1" customHeight="1" s="675">
      <c r="B56" s="9" t="n"/>
      <c r="E56" s="9" t="n"/>
      <c r="H56" s="9" t="n"/>
      <c r="N56" s="9" t="n"/>
    </row>
    <row r="57" ht="20" customHeight="1" s="474"/>
    <row r="58" ht="20" customHeight="1" s="474"/>
    <row r="59" ht="20" customHeight="1" s="474"/>
    <row r="60" ht="20" customHeight="1" s="474"/>
    <row r="61" ht="20" customHeight="1" s="474"/>
    <row r="62" ht="20" customHeight="1" s="474"/>
    <row r="63" ht="20" customHeight="1" s="474"/>
    <row r="64" ht="20" customHeight="1" s="474"/>
    <row r="65" ht="20" customHeight="1" s="474"/>
    <row r="66" ht="20" customHeight="1" s="474"/>
    <row r="67" ht="48" customHeight="1" s="474"/>
    <row r="68" ht="11" customFormat="1" customHeight="1" s="661">
      <c r="B68" s="659" t="n"/>
      <c r="C68" s="7" t="n"/>
      <c r="D68" s="7" t="n"/>
      <c r="E68" s="7" t="n"/>
      <c r="F68" s="7" t="n"/>
      <c r="G68" s="7" t="n"/>
      <c r="H68" s="7" t="n"/>
      <c r="J68" s="7" t="n"/>
      <c r="K68" s="7" t="n"/>
      <c r="M68" s="7" t="n"/>
      <c r="N68" s="7" t="n"/>
    </row>
    <row r="69" ht="37" customHeight="1" s="474"/>
    <row r="70" ht="20" customHeight="1" s="474"/>
    <row r="71" ht="20" customHeight="1" s="474"/>
    <row r="72" ht="20" customHeight="1" s="474"/>
    <row r="73" ht="20" customHeight="1" s="474"/>
    <row r="74" ht="20" customHeight="1" s="474"/>
    <row r="75" ht="44" customHeight="1" s="474"/>
    <row r="76" ht="11" customFormat="1" customHeight="1" s="661">
      <c r="B76" s="659" t="n"/>
      <c r="C76" s="7" t="n"/>
      <c r="D76" s="7" t="n"/>
      <c r="E76" s="7" t="n"/>
      <c r="F76" s="7" t="n"/>
      <c r="G76" s="7" t="n"/>
      <c r="H76" s="7" t="n"/>
      <c r="J76" s="7" t="n"/>
      <c r="K76" s="7" t="n"/>
      <c r="M76" s="7" t="n"/>
      <c r="N76" s="7" t="n"/>
    </row>
    <row r="77" ht="42" customFormat="1" customHeight="1" s="9"/>
    <row r="78" ht="20" customHeight="1" s="474"/>
    <row r="79" ht="20" customHeight="1" s="474"/>
    <row r="80" ht="20" customHeight="1" s="474"/>
    <row r="81" ht="41" customHeight="1" s="474"/>
    <row r="82" ht="11" customFormat="1" customHeight="1" s="661">
      <c r="B82" s="659" t="n"/>
      <c r="C82" s="7" t="n"/>
      <c r="D82" s="7" t="n"/>
      <c r="E82" s="7" t="n"/>
      <c r="F82" s="7" t="n"/>
      <c r="G82" s="7" t="n"/>
      <c r="H82" s="7" t="n"/>
      <c r="J82" s="7" t="n"/>
      <c r="K82" s="7" t="n"/>
      <c r="M82" s="7" t="n"/>
      <c r="N82" s="7" t="n"/>
    </row>
    <row r="83" ht="38" customHeight="1" s="474"/>
    <row r="84" ht="20" customHeight="1" s="474"/>
    <row r="85" ht="20" customHeight="1" s="474"/>
    <row r="86" ht="20" customHeight="1" s="474"/>
    <row r="87" ht="20" customHeight="1" s="474"/>
    <row r="88" ht="20" customHeight="1" s="474"/>
    <row r="89" ht="20" customHeight="1" s="474"/>
    <row r="90" ht="41" customHeight="1" s="474"/>
    <row r="91" ht="11" customFormat="1" customHeight="1" s="661">
      <c r="B91" s="659" t="n"/>
      <c r="C91" s="7" t="n"/>
      <c r="D91" s="7" t="n"/>
      <c r="E91" s="7" t="n"/>
      <c r="F91" s="7" t="n"/>
      <c r="G91" s="7" t="n"/>
      <c r="H91" s="7" t="n"/>
      <c r="J91" s="7" t="n"/>
      <c r="K91" s="7" t="n"/>
      <c r="M91" s="7" t="n"/>
      <c r="N91" s="7" t="n"/>
    </row>
    <row r="92" ht="38" customHeight="1" s="474"/>
    <row r="93" ht="23" customHeight="1" s="474"/>
    <row r="94" ht="42" customHeight="1" s="474"/>
    <row r="95" ht="20" customFormat="1" customHeight="1" s="659">
      <c r="C95" s="7" t="n"/>
      <c r="D95" s="7" t="n"/>
      <c r="E95" s="552" t="n"/>
      <c r="F95" s="7" t="n"/>
      <c r="G95" s="7" t="n"/>
      <c r="H95" s="552" t="n"/>
      <c r="J95" s="7" t="n"/>
      <c r="K95" s="7" t="n"/>
      <c r="M95" s="7" t="n"/>
      <c r="N95" s="552" t="n"/>
    </row>
    <row r="9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B5:B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B2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width="11" customWidth="1" style="557" min="1" max="1"/>
    <col width="24.19921875" customWidth="1" style="556" min="2" max="2"/>
    <col width="16.3984375" customWidth="1" style="557" min="3" max="3"/>
    <col width="32.3984375" customWidth="1" style="557" min="4" max="4"/>
    <col width="30.59765625" customWidth="1" style="851" min="5" max="5"/>
    <col width="11" customWidth="1" style="557" min="6" max="6"/>
    <col width="11" customWidth="1" style="559" min="7" max="7"/>
    <col width="37" customWidth="1" style="559" min="8" max="8"/>
    <col width="32" customWidth="1" style="559" min="9" max="9"/>
    <col width="11" customWidth="1" style="559" min="10" max="14"/>
    <col width="25" customWidth="1" style="559" min="15" max="15"/>
    <col width="11" customWidth="1" style="559" min="16" max="21"/>
    <col width="11" customWidth="1" style="557" min="22" max="37"/>
    <col width="11" customWidth="1" style="557" min="38" max="16384"/>
  </cols>
  <sheetData>
    <row r="1" hidden="1" ht="22" customHeight="1" s="474" thickBot="1"/>
    <row r="2" ht="41" customFormat="1" customHeight="1" s="556" thickBot="1">
      <c r="B2" s="560" t="n"/>
      <c r="C2" s="561" t="n"/>
      <c r="D2" s="562" t="n"/>
      <c r="E2" s="852" t="n"/>
      <c r="G2" s="559" t="n"/>
      <c r="H2" s="559" t="n"/>
      <c r="I2" s="559" t="n"/>
      <c r="J2" s="559" t="n"/>
      <c r="K2" s="559" t="n"/>
      <c r="L2" s="559" t="n"/>
      <c r="M2" s="559" t="n"/>
      <c r="N2" s="559" t="n"/>
      <c r="O2" s="559" t="n"/>
      <c r="P2" s="559" t="n"/>
      <c r="Q2" s="559" t="n"/>
      <c r="R2" s="559" t="n"/>
      <c r="S2" s="559" t="n"/>
      <c r="T2" s="559" t="n"/>
      <c r="U2" s="559" t="n"/>
    </row>
    <row r="3" ht="45" customFormat="1" customHeight="1" s="566" thickBot="1">
      <c r="B3" s="564" t="inlineStr">
        <is>
          <t xml:space="preserve">CLIENT  </t>
        </is>
      </c>
      <c r="C3" s="735">
        <f>CALENDAR!K2</f>
        <v/>
      </c>
      <c r="D3" s="696" t="n"/>
      <c r="E3" s="565" t="n"/>
      <c r="G3" s="559" t="n"/>
      <c r="H3" s="559" t="n"/>
      <c r="I3" s="559" t="n"/>
      <c r="J3" s="559" t="n"/>
      <c r="K3" s="559" t="n"/>
      <c r="L3" s="559" t="n"/>
      <c r="M3" s="559" t="n"/>
      <c r="N3" s="559" t="n"/>
      <c r="O3" s="559" t="n"/>
      <c r="P3" s="559" t="n"/>
      <c r="Q3" s="559" t="n"/>
      <c r="R3" s="559" t="n"/>
      <c r="S3" s="559" t="n"/>
      <c r="T3" s="559" t="n"/>
      <c r="U3" s="559" t="n"/>
    </row>
    <row r="4" ht="45" customFormat="1" customHeight="1" s="566" thickBot="1">
      <c r="B4" s="567" t="inlineStr">
        <is>
          <t xml:space="preserve">CHECK IN   </t>
        </is>
      </c>
      <c r="C4" s="737">
        <f>CALENDAR!C2</f>
        <v/>
      </c>
      <c r="D4" s="696" t="n"/>
      <c r="E4" s="565" t="n"/>
      <c r="G4" s="559" t="n"/>
      <c r="H4" s="559" t="n"/>
      <c r="I4" s="559" t="n"/>
      <c r="J4" s="559" t="n"/>
      <c r="K4" s="559" t="n"/>
      <c r="L4" s="559" t="n"/>
      <c r="M4" s="559" t="n"/>
      <c r="N4" s="559" t="n"/>
      <c r="O4" s="559" t="n"/>
      <c r="P4" s="559" t="n"/>
      <c r="Q4" s="559" t="n"/>
      <c r="R4" s="559" t="n"/>
      <c r="S4" s="559" t="n"/>
      <c r="T4" s="559" t="n"/>
      <c r="U4" s="559" t="n"/>
    </row>
    <row r="5" ht="45" customFormat="1" customHeight="1" s="566" thickBot="1">
      <c r="B5" s="568" t="inlineStr">
        <is>
          <t xml:space="preserve">CHECK OUT  </t>
        </is>
      </c>
      <c r="C5" s="733">
        <f>CALENDAR!C3</f>
        <v/>
      </c>
      <c r="D5" s="696" t="n"/>
      <c r="E5" s="565" t="n"/>
      <c r="G5" s="559" t="n"/>
      <c r="H5" s="569" t="inlineStr">
        <is>
          <t>TOTAL PESSOAS GRUPO</t>
        </is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/>
      </c>
      <c r="J5" s="559" t="n"/>
      <c r="K5" s="559" t="n"/>
      <c r="L5" s="559" t="n"/>
      <c r="M5" s="559" t="n"/>
      <c r="N5" s="559" t="n"/>
      <c r="O5" s="559" t="n"/>
      <c r="P5" s="559" t="n"/>
      <c r="Q5" s="559" t="n"/>
      <c r="R5" s="559" t="n"/>
      <c r="S5" s="559" t="n"/>
      <c r="T5" s="559" t="n"/>
      <c r="U5" s="559" t="n"/>
    </row>
    <row r="6" ht="45" customFormat="1" customHeight="1" s="566" thickBot="1">
      <c r="B6" s="570" t="inlineStr">
        <is>
          <t xml:space="preserve">TOTAL NIGHTS  </t>
        </is>
      </c>
      <c r="C6" s="725">
        <f>CALENDAR!J2</f>
        <v/>
      </c>
      <c r="D6" s="696" t="n"/>
      <c r="E6" s="571" t="n"/>
      <c r="G6" s="559" t="n"/>
      <c r="H6" s="572" t="inlineStr">
        <is>
          <t>LUCRO POR NOITE</t>
        </is>
      </c>
      <c r="I6" s="853">
        <f>I7/C6</f>
        <v/>
      </c>
      <c r="J6" s="559" t="n"/>
      <c r="K6" s="559" t="n"/>
      <c r="L6" s="559" t="n"/>
      <c r="M6" s="559" t="n"/>
      <c r="N6" s="559" t="n"/>
      <c r="O6" s="559" t="n"/>
      <c r="P6" s="559" t="n"/>
      <c r="Q6" s="559" t="n"/>
      <c r="R6" s="559" t="n"/>
      <c r="S6" s="559" t="n"/>
      <c r="T6" s="559" t="n"/>
      <c r="U6" s="559" t="n"/>
    </row>
    <row r="7" ht="69" customHeight="1" s="474" thickBot="1">
      <c r="B7" s="574" t="n"/>
      <c r="C7" s="854" t="n"/>
      <c r="D7" s="854" t="n"/>
      <c r="E7" s="855" t="n"/>
      <c r="H7" s="577" t="inlineStr">
        <is>
          <t>TOTAL COMISSÕES + CABINS</t>
        </is>
      </c>
      <c r="I7" s="856">
        <f>I8+E11</f>
        <v/>
      </c>
    </row>
    <row r="8" ht="69" customHeight="1" s="474" thickBot="1">
      <c r="B8" s="724" t="inlineStr">
        <is>
          <t>SUBTOTAIS</t>
        </is>
      </c>
      <c r="C8" s="673" t="n"/>
      <c r="D8" s="673" t="n"/>
      <c r="E8" s="696" t="n"/>
      <c r="F8" s="734" t="inlineStr">
        <is>
          <t>VALORES SEM IVA 19%</t>
        </is>
      </c>
      <c r="G8" s="696" t="n"/>
      <c r="H8" s="857" t="inlineStr">
        <is>
          <t>TOTAL COMISSÕES</t>
        </is>
      </c>
      <c r="I8" s="857">
        <f>H13+H15+H17+H19+H21+H23</f>
        <v/>
      </c>
    </row>
    <row r="9" ht="20" customHeight="1" s="474" thickBot="1">
      <c r="B9" s="574" t="n"/>
      <c r="C9" s="854" t="n"/>
      <c r="D9" s="854" t="n"/>
      <c r="E9" s="858" t="n"/>
      <c r="H9" s="581" t="n"/>
    </row>
    <row r="10" ht="46" customHeight="1" s="474" thickBot="1">
      <c r="B10" s="582" t="inlineStr">
        <is>
          <t>1. LODGING</t>
        </is>
      </c>
      <c r="C10" s="583" t="n"/>
      <c r="D10" s="583" t="n"/>
      <c r="E10" s="859" t="n"/>
      <c r="H10" s="581" t="n"/>
    </row>
    <row r="11" ht="42" customHeight="1" s="474" thickBot="1">
      <c r="B11" s="585" t="n"/>
      <c r="C11" s="586" t="n"/>
      <c r="D11" s="586" t="n"/>
      <c r="E11" s="860">
        <f>('BUDGET RESUMO'!C10*'BUDGET RESUMO'!$C$8)+('BUDGET RESUMO'!D10*'BUDGET RESUMO'!$D$8)+('BUDGET RESUMO'!F10*'BUDGET RESUMO'!$F$8)+('BUDGET RESUMO'!G10*'BUDGET RESUMO'!$G$8)+('BUDGET RESUMO'!J10*'BUDGET RESUMO'!$J$8)+('BUDGET RESUMO'!K10*'BUDGET RESUMO'!$K$8)+('BUDGET RESUMO'!M10*'BUDGET RESUMO'!$M$8)+('BUDGET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RESUMO'!W10*'BUDGET RESUMO'!$W$8)+('BUDGET RESUMO'!E10*'BUDGET RESUMO'!$E$8)+('BUDGET RESUMO'!H10*'BUDGET RESUMO'!$H$8)+('BUDGET RESUMO'!N10*'BUDGET RESUMO'!$N$8)+('BUDGET RESUMO'!Y10*'BUDGET RESUMO'!$Y$8)+('BUDGET RESUMO'!X10*'BUDGET RESUMO'!$X$8)+('BUDGET RESUMO'!L10*'BUDGET RESUMO'!$L$8)+('BUDGET RESUMO'!I10*'BUDGET RESUMO'!$I$8)</f>
        <v/>
      </c>
      <c r="H11" s="581" t="n"/>
    </row>
    <row r="12" ht="31" customHeight="1" s="474" thickBot="1">
      <c r="B12" s="588" t="inlineStr">
        <is>
          <t>2. FOOD</t>
        </is>
      </c>
      <c r="C12" s="736" t="n"/>
      <c r="D12" s="673" t="n"/>
      <c r="E12" s="696" t="n"/>
      <c r="H12" s="581" t="n"/>
    </row>
    <row r="13" ht="34" customHeight="1" s="474" thickBot="1">
      <c r="B13" s="589" t="n"/>
      <c r="C13" s="590" t="n"/>
      <c r="D13" s="590" t="n"/>
      <c r="E13" s="861">
        <f>('BUDGET RESUMO'!C11*'BUDGET RESUMO'!$C$8)+('BUDGET RESUMO'!D11*'BUDGET RESUMO'!$D$8)+('BUDGET RESUMO'!F11*'BUDGET RESUMO'!$F$8)+('BUDGET RESUMO'!G11*'BUDGET RESUMO'!$G$8)+('BUDGET RESUMO'!J11*'BUDGET RESUMO'!$J$8)+('BUDGET RESUMO'!K11*'BUDGET RESUMO'!$K$8)+('BUDGET RESUMO'!M11*'BUDGET RESUMO'!$M$8)+('BUDGET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RESUMO'!W11*'BUDGET RESUMO'!$W$8)+('BUDGET RESUMO'!E11*'BUDGET RESUMO'!$E$8)+('BUDGET RESUMO'!H11*'BUDGET RESUMO'!$H$8)+('BUDGET RESUMO'!N11*'BUDGET RESUMO'!$N$8)+('BUDGET RESUMO'!Y11*'BUDGET RESUMO'!$Y$8)+('BUDGET RESUMO'!X11*'BUDGET RESUMO'!$X$8)+('BUDGET RESUMO'!L11*'BUDGET RESUMO'!$L$8)+('BUDGET RESUMO'!I11*'BUDGET RESUMO'!$I$8)</f>
        <v/>
      </c>
      <c r="G13" s="862">
        <f>E13*0.2</f>
        <v/>
      </c>
      <c r="H13" s="863">
        <f>0.2*E13</f>
        <v/>
      </c>
      <c r="I13" s="864" t="n"/>
    </row>
    <row r="14" ht="39" customHeight="1" s="474" thickBot="1">
      <c r="B14" s="595" t="inlineStr">
        <is>
          <t>3. DRINKS</t>
        </is>
      </c>
      <c r="C14" s="596" t="n"/>
      <c r="D14" s="596" t="n"/>
      <c r="E14" s="865" t="n"/>
      <c r="H14" s="581" t="n"/>
    </row>
    <row r="15" ht="34" customHeight="1" s="474" thickBot="1">
      <c r="B15" s="598" t="n"/>
      <c r="C15" s="599" t="n"/>
      <c r="D15" s="599" t="n"/>
      <c r="E15" s="866">
        <f>('BUDGET RESUMO'!C12*'BUDGET RESUMO'!$C$8)+('BUDGET RESUMO'!D12*'BUDGET RESUMO'!$D$8)+('BUDGET RESUMO'!F12*'BUDGET RESUMO'!$F$8)+('BUDGET RESUMO'!G12*'BUDGET RESUMO'!$G$8)+('BUDGET RESUMO'!J12*'BUDGET RESUMO'!$J$8)+('BUDGET RESUMO'!K12*'BUDGET RESUMO'!$K$8)+('BUDGET RESUMO'!M12*'BUDGET RESUMO'!$M$8)+('BUDGET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RESUMO'!W12*'BUDGET RESUMO'!$W$8)+('BUDGET RESUMO'!E12*'BUDGET RESUMO'!$E$8)+('BUDGET RESUMO'!H12*'BUDGET RESUMO'!$H$8)+('BUDGET RESUMO'!N12*'BUDGET RESUMO'!$N$8)+('BUDGET RESUMO'!Y12*'BUDGET RESUMO'!$Y$8)+('BUDGET RESUMO'!X12*'BUDGET RESUMO'!$X$8)+('BUDGET RESUMO'!L12*'BUDGET RESUMO'!$L$8)+('BUDGET RESUMO'!I12*'BUDGET RESUMO'!$I$8)</f>
        <v/>
      </c>
      <c r="H15" s="863">
        <f>0.2*E15</f>
        <v/>
      </c>
    </row>
    <row r="16" ht="53" customHeight="1" s="474" thickBot="1">
      <c r="B16" s="601" t="inlineStr">
        <is>
          <t>4. ACTIVITIES</t>
        </is>
      </c>
      <c r="C16" s="602" t="n"/>
      <c r="D16" s="603" t="n"/>
      <c r="E16" s="867" t="n"/>
      <c r="H16" s="581" t="n"/>
    </row>
    <row r="17" ht="34" customHeight="1" s="474" thickBot="1">
      <c r="B17" s="605" t="n"/>
      <c r="C17" s="606" t="n"/>
      <c r="D17" s="606" t="n"/>
      <c r="E17" s="868">
        <f>('BUDGET RESUMO'!C13*'BUDGET RESUMO'!$C$8)+('BUDGET RESUMO'!D13*'BUDGET RESUMO'!$D$8)+('BUDGET RESUMO'!F13*'BUDGET RESUMO'!$F$8)+('BUDGET RESUMO'!G13*'BUDGET RESUMO'!$G$8)+('BUDGET RESUMO'!J13*'BUDGET RESUMO'!$J$8)+('BUDGET RESUMO'!K13*'BUDGET RESUMO'!$K$8)+('BUDGET RESUMO'!M13*'BUDGET RESUMO'!$M$8)+('BUDGET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RESUMO'!W13*'BUDGET RESUMO'!$W$8)+('BUDGET RESUMO'!E13*'BUDGET RESUMO'!$E$8)+('BUDGET RESUMO'!H13*'BUDGET RESUMO'!$H$8)+('BUDGET RESUMO'!N13*'BUDGET RESUMO'!$N$8)+('BUDGET RESUMO'!Y13*'BUDGET RESUMO'!$Y$8)+('BUDGET RESUMO'!X13*'BUDGET RESUMO'!$X$8)+('BUDGET RESUMO'!L13*'BUDGET RESUMO'!$L$8)+('BUDGET RESUMO'!I13*'BUDGET RESUMO'!$I$8)</f>
        <v/>
      </c>
      <c r="H17" s="863">
        <f>0.2*E17</f>
        <v/>
      </c>
    </row>
    <row r="18" ht="34" customHeight="1" s="474" thickBot="1">
      <c r="B18" s="608" t="inlineStr">
        <is>
          <t>5. TRANSPORT</t>
        </is>
      </c>
      <c r="C18" s="609" t="n"/>
      <c r="D18" s="610" t="n"/>
      <c r="E18" s="869" t="n"/>
      <c r="H18" s="581" t="n"/>
    </row>
    <row r="19" ht="38" customHeight="1" s="474" thickBot="1">
      <c r="B19" s="612" t="n"/>
      <c r="C19" s="609" t="n"/>
      <c r="D19" s="609" t="n"/>
      <c r="E19" s="870">
        <f>('BUDGET RESUMO'!C14*'BUDGET RESUMO'!$C$8)+('BUDGET RESUMO'!D14*'BUDGET RESUMO'!$D$8)+('BUDGET RESUMO'!F14*'BUDGET RESUMO'!$F$8)+('BUDGET RESUMO'!G14*'BUDGET RESUMO'!$G$8)+('BUDGET RESUMO'!J14*'BUDGET RESUMO'!$J$8)+('BUDGET RESUMO'!K14*'BUDGET RESUMO'!$K$8)+('BUDGET RESUMO'!M14*'BUDGET RESUMO'!$M$8)+('BUDGET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RESUMO'!W14*'BUDGET RESUMO'!$W$8)+('BUDGET RESUMO'!E14*'BUDGET RESUMO'!$E$8)+('BUDGET RESUMO'!H14*'BUDGET RESUMO'!$H$8)+('BUDGET RESUMO'!N14*'BUDGET RESUMO'!$N$8)+('BUDGET RESUMO'!Y14*'BUDGET RESUMO'!$Y$8)+('BUDGET RESUMO'!X14*'BUDGET RESUMO'!$X$8)+('BUDGET RESUMO'!L14*'BUDGET RESUMO'!$L$8)+('BUDGET RESUMO'!I14*'BUDGET RESUMO'!$I$8)</f>
        <v/>
      </c>
      <c r="H19" s="863">
        <f>0.2*E19</f>
        <v/>
      </c>
    </row>
    <row r="20" ht="41" customHeight="1" s="474" thickBot="1">
      <c r="B20" s="614" t="inlineStr">
        <is>
          <t>6. EXPERIENCES</t>
        </is>
      </c>
      <c r="C20" s="615" t="n"/>
      <c r="D20" s="615" t="n"/>
      <c r="E20" s="871" t="n"/>
      <c r="H20" s="581" t="n"/>
    </row>
    <row r="21" ht="38" customHeight="1" s="474" thickBot="1">
      <c r="B21" s="617" t="n"/>
      <c r="C21" s="618" t="n"/>
      <c r="D21" s="618" t="n"/>
      <c r="E21" s="872">
        <f>('BUDGET RESUMO'!C15*'BUDGET RESUMO'!$C$8)+('BUDGET RESUMO'!D15*'BUDGET RESUMO'!$D$8)+('BUDGET RESUMO'!F15*'BUDGET RESUMO'!$F$8)+('BUDGET RESUMO'!G15*'BUDGET RESUMO'!$G$8)+('BUDGET RESUMO'!J15*'BUDGET RESUMO'!$J$8)+('BUDGET RESUMO'!K15*'BUDGET RESUMO'!$K$8)+('BUDGET RESUMO'!M15*'BUDGET RESUMO'!$M$8)+('BUDGET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RESUMO'!W15*'BUDGET RESUMO'!$W$8)+('BUDGET RESUMO'!E15*'BUDGET RESUMO'!$E$8)+('BUDGET RESUMO'!H15*'BUDGET RESUMO'!$H$8)+('BUDGET RESUMO'!N15*'BUDGET RESUMO'!$N$8)+('BUDGET RESUMO'!Y15*'BUDGET RESUMO'!$Y$8)+('BUDGET RESUMO'!X15*'BUDGET RESUMO'!$X$8)+('BUDGET RESUMO'!L15*'BUDGET RESUMO'!$L$8)+('BUDGET RESUMO'!I15*'BUDGET RESUMO'!$I$8)</f>
        <v/>
      </c>
      <c r="H21" s="863">
        <f>0.2*E21</f>
        <v/>
      </c>
    </row>
    <row r="22" ht="46" customHeight="1" s="474" thickBot="1">
      <c r="B22" s="620" t="inlineStr">
        <is>
          <t>7. EXTRAS</t>
        </is>
      </c>
      <c r="C22" s="621" t="n"/>
      <c r="D22" s="621" t="n"/>
      <c r="E22" s="873" t="n"/>
      <c r="H22" s="581" t="n"/>
    </row>
    <row r="23" ht="42" customHeight="1" s="474" thickBot="1">
      <c r="B23" s="623" t="n"/>
      <c r="C23" s="624" t="n"/>
      <c r="D23" s="624" t="n"/>
      <c r="E23" s="874">
        <f>('BUDGET RESUMO'!C16*'BUDGET RESUMO'!$C$8)+('BUDGET RESUMO'!D16*'BUDGET RESUMO'!$D$8)+('BUDGET RESUMO'!F16*'BUDGET RESUMO'!$F$8)+('BUDGET RESUMO'!G16*'BUDGET RESUMO'!$G$8)+('BUDGET RESUMO'!J16*'BUDGET RESUMO'!$J$8)+('BUDGET RESUMO'!K16*'BUDGET RESUMO'!$K$8)+('BUDGET RESUMO'!M16*'BUDGET RESUMO'!$M$8)+('BUDGET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RESUMO'!W16*'BUDGET RESUMO'!$W$8)+('BUDGET RESUMO'!E16*'BUDGET RESUMO'!$E$8)+('BUDGET RESUMO'!H16*'BUDGET RESUMO'!$H$8)+('BUDGET RESUMO'!N16*'BUDGET RESUMO'!$N$8)+('BUDGET RESUMO'!Y16*'BUDGET RESUMO'!$Y$8)+('BUDGET RESUMO'!X16*'BUDGET RESUMO'!$X$8)+('BUDGET RESUMO'!L16*'BUDGET RESUMO'!$L$8)+('BUDGET RESUMO'!I16*'BUDGET RESUMO'!$I$8)</f>
        <v/>
      </c>
      <c r="H23" s="863">
        <f>0.2*E23</f>
        <v/>
      </c>
      <c r="I23" s="875" t="n"/>
      <c r="O23" s="862" t="n"/>
    </row>
    <row r="24" ht="46" customHeight="1" s="474" thickBot="1">
      <c r="B24" s="627" t="inlineStr">
        <is>
          <t>8. QUINCHO</t>
        </is>
      </c>
      <c r="C24" s="628" t="n"/>
      <c r="D24" s="628" t="n"/>
      <c r="E24" s="876" t="n"/>
      <c r="H24" s="581" t="n"/>
    </row>
    <row r="25" ht="42" customHeight="1" s="474" thickBot="1">
      <c r="B25" s="630" t="n"/>
      <c r="C25" s="631" t="n"/>
      <c r="D25" s="631" t="n"/>
      <c r="E25" s="877">
        <f>('BUDGET RESUMO'!C17*'BUDGET RESUMO'!$C$8)+('BUDGET RESUMO'!D17*'BUDGET RESUMO'!$D$8)+('BUDGET RESUMO'!F17*'BUDGET RESUMO'!$F$8)+('BUDGET RESUMO'!G17*'BUDGET RESUMO'!$G$8)+('BUDGET RESUMO'!J17*'BUDGET RESUMO'!$J$8)+('BUDGET RESUMO'!K17*'BUDGET RESUMO'!$K$8)+('BUDGET RESUMO'!M17*'BUDGET RESUMO'!$M$8)+('BUDGET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RESUMO'!W17*'BUDGET RESUMO'!$W$8)+('BUDGET RESUMO'!E17*'BUDGET RESUMO'!$E$8)+('BUDGET RESUMO'!H17*'BUDGET RESUMO'!$H$8)+('BUDGET RESUMO'!N17*'BUDGET RESUMO'!$N$8)+('BUDGET RESUMO'!Y17*'BUDGET RESUMO'!$Y$8)+('BUDGET RESUMO'!X17*'BUDGET RESUMO'!$X$8)+('BUDGET RESUMO'!L17*'BUDGET RESUMO'!$L$8)+('BUDGET RESUMO'!I17*'BUDGET RESUMO'!$I$8)</f>
        <v/>
      </c>
    </row>
    <row r="26" hidden="1" ht="15" customHeight="1" s="474" thickBot="1">
      <c r="B26" s="574" t="n"/>
      <c r="C26" s="854" t="n"/>
      <c r="D26" s="854" t="n"/>
      <c r="E26" s="0">
        <f>SUM(E25+E23+E21+E19+E17+E15+E13+E11)</f>
        <v/>
      </c>
    </row>
    <row r="27" ht="42" customHeight="1" s="474" thickBot="1">
      <c r="B27" s="722" t="inlineStr">
        <is>
          <t>TOTAL SEM AG [cash]</t>
        </is>
      </c>
      <c r="C27" s="673" t="n"/>
      <c r="D27" s="696" t="n"/>
      <c r="E27" s="878">
        <f>E26</f>
        <v/>
      </c>
    </row>
    <row r="28" ht="42" customHeight="1" s="474" thickBot="1">
      <c r="B28" s="722" t="inlineStr">
        <is>
          <t>TOTAL SEM AG [CC]</t>
        </is>
      </c>
      <c r="C28" s="673" t="n"/>
      <c r="D28" s="696" t="n"/>
      <c r="E28" s="878">
        <f>E27*(1+'BUDGET RESUMO'!$C$24)</f>
        <v/>
      </c>
    </row>
    <row r="29" ht="13" customHeight="1" s="474" thickBot="1"/>
    <row r="30" ht="42" customHeight="1" s="474" thickBot="1">
      <c r="B30" s="879" t="inlineStr">
        <is>
          <t>TOTAL COM AGÊNCIA</t>
        </is>
      </c>
      <c r="C30" s="673" t="n"/>
      <c r="D30" s="673" t="n"/>
      <c r="E30" s="696" t="n"/>
    </row>
    <row r="31" ht="42" customHeight="1" s="474" thickBot="1">
      <c r="B31" s="726" t="inlineStr">
        <is>
          <t>TOTAL COM AGÊNCIA [CC]</t>
        </is>
      </c>
      <c r="C31" s="673" t="n"/>
      <c r="D31" s="696" t="n"/>
      <c r="E31" s="861">
        <f>E27*(1+'BUDGET RESUMO'!$C$23)*(1+'BUDGET RESUMO'!$C$24)</f>
        <v/>
      </c>
      <c r="F31" s="634">
        <f>('BUDGET RESUMO'!D21*(1+'BUDGET RESUMO'!$C$23))*(1+'BUDGET RESUMO'!$C$24)</f>
        <v/>
      </c>
      <c r="G31" s="634">
        <f>('BUDGET RESUMO'!F21*(1+'BUDGET RESUMO'!$C$23))*(1+'BUDGET RESUMO'!$C$24)</f>
        <v/>
      </c>
      <c r="H31" s="634">
        <f>('BUDGET RESUMO'!G21*(1+'BUDGET RESUMO'!$C$23))*(1+'BUDGET RESUMO'!$C$24)</f>
        <v/>
      </c>
      <c r="I31" s="634">
        <f>('BUDGET RESUMO'!I21*(1+'BUDGET RESUMO'!$C$23))*(1+'BUDGET RESUMO'!$C$24)</f>
        <v/>
      </c>
      <c r="J31" s="634">
        <f>('BUDGET RESUMO'!J21*(1+'BUDGET RESUMO'!$C$23))*(1+'BUDGET RESUMO'!$C$24)</f>
        <v/>
      </c>
      <c r="K31" s="634">
        <f>('BUDGET RESUMO'!L21*(1+'BUDGET RESUMO'!$C$23))*(1+'BUDGET RESUMO'!$C$24)</f>
        <v/>
      </c>
      <c r="L31" s="634">
        <f>('BUDGET RESUMO'!N21*(1+'BUDGET RESUMO'!$C$23))*(1+'BUDGET RESUMO'!$C$24)</f>
        <v/>
      </c>
      <c r="M31" s="634">
        <f>('BUDGET RESUMO'!O21*(1+'BUDGET RESUMO'!$C$23))*(1+'BUDGET RESUMO'!$C$24)</f>
        <v/>
      </c>
      <c r="N31" s="634">
        <f>('BUDGET RESUMO'!P21*(1+'BUDGET RESUMO'!$C$23))*(1+'BUDGET RESUMO'!$C$24)</f>
        <v/>
      </c>
      <c r="O31" s="634">
        <f>('BUDGET RESUMO'!Q21*(1+'BUDGET RESUMO'!$C$23))*(1+'BUDGET RESUMO'!$C$24)</f>
        <v/>
      </c>
      <c r="P31" s="634">
        <f>('BUDGET RESUMO'!R21*(1+'BUDGET RESUMO'!$C$23))*(1+'BUDGET RESUMO'!$C$24)</f>
        <v/>
      </c>
      <c r="Q31" s="634">
        <f>('BUDGET RESUMO'!S21*(1+'BUDGET RESUMO'!$C$23))*(1+'BUDGET RESUMO'!$C$24)</f>
        <v/>
      </c>
      <c r="R31" s="634">
        <f>('BUDGET RESUMO'!T21*(1+'BUDGET RESUMO'!$C$23))*(1+'BUDGET RESUMO'!$C$24)</f>
        <v/>
      </c>
      <c r="S31" s="634">
        <f>('BUDGET RESUMO'!U21*(1+'BUDGET RESUMO'!$C$23))*(1+'BUDGET RESUMO'!$C$24)</f>
        <v/>
      </c>
      <c r="T31" s="634">
        <f>('BUDGET RESUMO'!V21*(1+'BUDGET RESUMO'!$C$23))*(1+'BUDGET RESUMO'!$C$24)</f>
        <v/>
      </c>
    </row>
    <row r="32" ht="5" customFormat="1" customHeight="1" s="638" thickBot="1">
      <c r="B32" s="635" t="n"/>
      <c r="C32" s="636" t="n"/>
      <c r="D32" s="636" t="n"/>
      <c r="E32" s="880" t="n"/>
      <c r="F32" s="557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634" t="n"/>
    </row>
    <row r="33" ht="28" customHeight="1" s="474" thickBot="1">
      <c r="B33" s="719" t="inlineStr">
        <is>
          <t>GANHO COMISSÃO AGÊNCIA</t>
        </is>
      </c>
      <c r="C33" s="673" t="n"/>
      <c r="D33" s="696" t="n"/>
      <c r="E33" s="881">
        <f>E27*'BUDGET RESUMO'!$C$23</f>
        <v/>
      </c>
      <c r="F33" s="559" t="n"/>
    </row>
    <row r="34" ht="18" customHeight="1" s="474" thickBot="1"/>
    <row r="35" ht="37" customFormat="1" customHeight="1" s="640" thickBot="1">
      <c r="B35" s="724" t="inlineStr">
        <is>
          <t>CONTROLE PAGAMENTO COMISSÕES</t>
        </is>
      </c>
      <c r="C35" s="673" t="n"/>
      <c r="D35" s="673" t="n"/>
      <c r="E35" s="696" t="n"/>
      <c r="G35" s="641" t="n"/>
      <c r="H35" s="641" t="n"/>
      <c r="I35" s="641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</row>
    <row r="36" ht="23" customFormat="1" customHeight="1" s="640">
      <c r="B36" s="642" t="inlineStr">
        <is>
          <t>PARCELA</t>
        </is>
      </c>
      <c r="C36" s="643" t="inlineStr">
        <is>
          <t>DATA</t>
        </is>
      </c>
      <c r="D36" s="644" t="inlineStr">
        <is>
          <t>VALOR</t>
        </is>
      </c>
      <c r="E36" s="882" t="inlineStr">
        <is>
          <t>SALDO A PAGAR</t>
        </is>
      </c>
      <c r="G36" s="641" t="n"/>
      <c r="H36" s="641" t="n"/>
      <c r="I36" s="641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</row>
    <row r="37" ht="22" customFormat="1" customHeight="1" s="650">
      <c r="B37" s="646" t="n"/>
      <c r="C37" s="647" t="n"/>
      <c r="D37" s="883" t="n">
        <v>0</v>
      </c>
      <c r="E37" s="884">
        <f>E33-D37</f>
        <v/>
      </c>
      <c r="G37" s="651" t="n"/>
      <c r="H37" s="651" t="n"/>
      <c r="I37" s="651" t="n"/>
      <c r="J37" s="651" t="n"/>
      <c r="K37" s="651" t="n"/>
      <c r="L37" s="651" t="n"/>
      <c r="M37" s="651" t="n"/>
      <c r="N37" s="651" t="n"/>
      <c r="O37" s="651" t="n"/>
      <c r="P37" s="651" t="n"/>
      <c r="Q37" s="651" t="n"/>
      <c r="R37" s="651" t="n"/>
      <c r="S37" s="651" t="n"/>
      <c r="T37" s="651" t="n"/>
      <c r="U37" s="651" t="n"/>
    </row>
    <row r="38" ht="22" customFormat="1" customHeight="1" s="640">
      <c r="B38" s="646" t="n"/>
      <c r="C38" s="647" t="n"/>
      <c r="D38" s="883" t="n">
        <v>0</v>
      </c>
      <c r="E38" s="885">
        <f>E37-D38</f>
        <v/>
      </c>
      <c r="G38" s="641" t="n"/>
      <c r="H38" s="641" t="n"/>
      <c r="I38" s="641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</row>
    <row r="39" ht="22" customFormat="1" customHeight="1" s="640">
      <c r="B39" s="646" t="n"/>
      <c r="C39" s="647" t="n"/>
      <c r="D39" s="883" t="n">
        <v>0</v>
      </c>
      <c r="E39" s="885">
        <f>E38-D39</f>
        <v/>
      </c>
      <c r="G39" s="641" t="n"/>
      <c r="H39" s="641" t="n"/>
      <c r="I39" s="641" t="n"/>
      <c r="J39" s="641" t="n"/>
      <c r="K39" s="641" t="n"/>
      <c r="L39" s="641" t="n"/>
      <c r="M39" s="641" t="n"/>
      <c r="N39" s="641" t="n"/>
      <c r="O39" s="641" t="n"/>
      <c r="P39" s="641" t="n"/>
      <c r="Q39" s="641" t="n"/>
      <c r="R39" s="641" t="n"/>
      <c r="S39" s="641" t="n"/>
      <c r="T39" s="641" t="n"/>
      <c r="U39" s="641" t="n"/>
    </row>
    <row r="40" ht="22" customFormat="1" customHeight="1" s="640" thickBot="1">
      <c r="B40" s="653" t="n"/>
      <c r="C40" s="654" t="n"/>
      <c r="D40" s="886" t="n">
        <v>0</v>
      </c>
      <c r="E40" s="887">
        <f>E39-D40</f>
        <v/>
      </c>
      <c r="G40" s="641" t="n"/>
      <c r="H40" s="641" t="n"/>
      <c r="I40" s="641" t="n"/>
      <c r="J40" s="641" t="n"/>
      <c r="K40" s="641" t="n"/>
      <c r="L40" s="641" t="n"/>
      <c r="M40" s="641" t="n"/>
      <c r="N40" s="641" t="n"/>
      <c r="O40" s="641" t="n"/>
      <c r="P40" s="641" t="n"/>
      <c r="Q40" s="641" t="n"/>
      <c r="R40" s="641" t="n"/>
      <c r="S40" s="641" t="n"/>
      <c r="T40" s="641" t="n"/>
      <c r="U40" s="641" t="n"/>
    </row>
    <row r="47">
      <c r="D47" s="6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3">
    <mergeCell ref="B33:D33"/>
    <mergeCell ref="B28:D28"/>
    <mergeCell ref="C6:D6"/>
    <mergeCell ref="B8:E8"/>
    <mergeCell ref="B35:E35"/>
    <mergeCell ref="B31:D31"/>
    <mergeCell ref="C5:D5"/>
    <mergeCell ref="B30:E30"/>
    <mergeCell ref="C4:D4"/>
    <mergeCell ref="B27:D27"/>
    <mergeCell ref="C3:D3"/>
    <mergeCell ref="C12:E12"/>
    <mergeCell ref="F8:G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2:P100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663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65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66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67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68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69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0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9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88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88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88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88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88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88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88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88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938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88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88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A47</f>
        <v/>
      </c>
      <c r="I47" s="939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A48</f>
        <v/>
      </c>
      <c r="I48" s="946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950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76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76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76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76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77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973">
        <f>SUM(F52:F58)</f>
        <v/>
      </c>
      <c r="G59" s="974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988">
        <f>B72*C72</f>
        <v/>
      </c>
      <c r="G72" s="989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7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7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7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7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191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989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989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989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42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42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4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0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2:P100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39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1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 codeName="Sheet9">
    <outlinePr summaryBelow="1" summaryRight="1"/>
    <pageSetUpPr/>
  </sheetPr>
  <dimension ref="A2:P100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3984375" customWidth="1" style="7" min="6" max="6"/>
    <col width="31.39843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 codeName="Sheet10">
    <outlinePr summaryBelow="1" summaryRight="1"/>
    <pageSetUpPr/>
  </sheetPr>
  <dimension ref="A2:P100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3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9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zoomScale="11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3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 codeName="Sheet12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7" customFormat="1" customHeight="1" s="675">
      <c r="A5" s="54" t="inlineStr">
        <is>
          <t>TOTAL PAX ADULT</t>
        </is>
      </c>
      <c r="B5" s="674" t="n">
        <v>1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 codeName="Sheet13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5" customFormat="1" customHeight="1" s="675">
      <c r="A5" s="54" t="inlineStr">
        <is>
          <t>TOTAL PAX ADULT</t>
        </is>
      </c>
      <c r="B5" s="674" t="n">
        <v>2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50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675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675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675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675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675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675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675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675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I40" s="675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675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675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675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675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675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 codeName="Sheet14">
    <outlinePr summaryBelow="1" summaryRight="1"/>
    <pageSetUpPr/>
  </sheetPr>
  <dimension ref="A2:P100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19921875" customWidth="1" style="7" min="6" max="6"/>
    <col width="27.796875" customWidth="1" style="659" min="7" max="7"/>
    <col width="36.3984375" customWidth="1" style="7" min="8" max="8"/>
    <col width="31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>
      <c r="A31" s="154">
        <f>'BASE PAX'!A6</f>
        <v/>
      </c>
      <c r="B31" s="1038">
        <f>'BASE PAX'!B6*B9*($B$5*'BASE PAX'!G6+$B$6*'BASE PAX'!H6)</f>
        <v/>
      </c>
      <c r="C31" s="924" t="n"/>
      <c r="D31" s="925" t="n"/>
      <c r="E31" s="926" t="n"/>
      <c r="F31" s="927">
        <f>B31*C31</f>
        <v/>
      </c>
      <c r="G31" s="934">
        <f>0.2*B31</f>
        <v/>
      </c>
      <c r="H31" s="293">
        <f>'BASE PAX'!A6</f>
        <v/>
      </c>
      <c r="I31" s="1051">
        <f>'BASE PAX'!B6*B9*($B$5*'BASE PAX'!G6+$B$6*'BASE PAX'!H6)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($B$5+$B$6)*'BASE PAX'!B22</f>
        <v/>
      </c>
      <c r="C47" s="931" t="n"/>
      <c r="D47" s="932" t="n"/>
      <c r="E47" s="907" t="n"/>
      <c r="F47" s="933" t="n"/>
      <c r="G47" s="934">
        <f>0.2*I47</f>
        <v/>
      </c>
      <c r="H47" s="293">
        <f>'BASE PAX'!A22</f>
        <v/>
      </c>
      <c r="I47" s="1054">
        <f>'BASE PAX'!B22*($B$5*'BASE PAX'!G22+$B$6*'BASE PAX'!H22)</f>
        <v/>
      </c>
    </row>
    <row r="48" ht="20" customHeight="1" s="474" thickBot="1">
      <c r="A48" s="163">
        <f>'BASE PAX'!A23</f>
        <v/>
      </c>
      <c r="B48" s="1055">
        <f>($B$5+$B$6)*'BASE PAX'!B23</f>
        <v/>
      </c>
      <c r="C48" s="941" t="n"/>
      <c r="D48" s="942" t="n"/>
      <c r="E48" s="943" t="n"/>
      <c r="F48" s="944" t="n"/>
      <c r="G48" s="1056">
        <f>0.2*I48</f>
        <v/>
      </c>
      <c r="H48" s="293">
        <f>'BASE PAX'!A23</f>
        <v/>
      </c>
      <c r="I48" s="1054">
        <f>'BASE PAX'!B23*($B$5*'BASE PAX'!G23+$B$6*'BASE PAX'!H23)</f>
        <v/>
      </c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1057">
        <f>SUM(G31:G48)</f>
        <v/>
      </c>
      <c r="H49" s="302" t="inlineStr">
        <is>
          <t>SUBTOTAL</t>
        </is>
      </c>
      <c r="I49" s="1058">
        <f>I31+I47+I48</f>
        <v/>
      </c>
      <c r="J49" s="1059">
        <f>I49+E49</f>
        <v/>
      </c>
      <c r="K49" s="297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 codeName="Sheet15">
    <outlinePr summaryBelow="1" summaryRight="1"/>
    <pageSetUpPr/>
  </sheetPr>
  <dimension ref="A2:P100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4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-0.15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-0.15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-0.15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 codeName="Sheet16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3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 codeName="Sheet17">
    <outlinePr summaryBelow="1" summaryRight="1"/>
    <pageSetUpPr/>
  </sheetPr>
  <dimension ref="A2:P100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9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 codeName="Sheet18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 codeName="Sheet19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6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zoomScaleNormal="10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5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>
        <f>'[1]⚙️ INPUTS'!$B$33</f>
        <v/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Gustavo Zylbersztajn</dc:creator>
  <dcterms:created xmlns:dcterms="http://purl.org/dc/terms/" xmlns:xsi="http://www.w3.org/2001/XMLSchema-instance" xsi:type="dcterms:W3CDTF">2014-09-11T17:19:09Z</dcterms:created>
  <dcterms:modified xmlns:dcterms="http://purl.org/dc/terms/" xmlns:xsi="http://www.w3.org/2001/XMLSchema-instance" xsi:type="dcterms:W3CDTF">2026-08-11T21:58:54Z</dcterms:modified>
  <cp:lastModifiedBy>Gustavo Zylbersztajn</cp:lastModifiedBy>
  <cp:lastPrinted>2023-03-11T01:34:25Z</cp:lastPrinted>
</cp:coreProperties>
</file>

<file path=docProps/custom.xml><?xml version="1.0" encoding="utf-8"?>
<Properties xmlns="http://schemas.openxmlformats.org/officeDocument/2006/custom-properties">
  <property name="AssetID" fmtid="{D5CDD505-2E9C-101B-9397-08002B2CF9AE}" pid="2">
    <vt:lpwstr xmlns:vt="http://schemas.openxmlformats.org/officeDocument/2006/docPropsVTypes">TF10000010</vt:lpwstr>
  </property>
</Properties>
</file>